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E62FC0E9-2087-442F-88B2-FAE8140117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R" sheetId="1" r:id="rId1"/>
  </sheets>
  <definedNames>
    <definedName name="Heart_disease_processed_cleveland___Copy" localSheetId="0">LR!$A$2:$N$298</definedName>
    <definedName name="solver_adj" localSheetId="0" hidden="1">LR!$W$6:$AJ$6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LR!$W$12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</workbook>
</file>

<file path=xl/calcChain.xml><?xml version="1.0" encoding="utf-8"?>
<calcChain xmlns="http://schemas.openxmlformats.org/spreadsheetml/2006/main">
  <c r="Q301" i="1" l="1"/>
  <c r="Q302" i="1"/>
  <c r="P301" i="1"/>
  <c r="P302" i="1"/>
  <c r="O301" i="1"/>
  <c r="O302" i="1"/>
  <c r="O3" i="1"/>
  <c r="P3" i="1" s="1"/>
  <c r="O4" i="1"/>
  <c r="P4" i="1" s="1"/>
  <c r="O5" i="1"/>
  <c r="P5" i="1" s="1"/>
  <c r="Q5" i="1" s="1"/>
  <c r="R5" i="1" s="1"/>
  <c r="O6" i="1"/>
  <c r="P6" i="1" s="1"/>
  <c r="S6" i="1" s="1"/>
  <c r="T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Q12" i="1" s="1"/>
  <c r="R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Q18" i="1" s="1"/>
  <c r="R18" i="1" s="1"/>
  <c r="O19" i="1"/>
  <c r="P19" i="1" s="1"/>
  <c r="O20" i="1"/>
  <c r="P20" i="1" s="1"/>
  <c r="S20" i="1" s="1"/>
  <c r="T20" i="1" s="1"/>
  <c r="O21" i="1"/>
  <c r="P21" i="1" s="1"/>
  <c r="O22" i="1"/>
  <c r="P22" i="1" s="1"/>
  <c r="Q22" i="1" s="1"/>
  <c r="R22" i="1" s="1"/>
  <c r="O23" i="1"/>
  <c r="P23" i="1" s="1"/>
  <c r="O24" i="1"/>
  <c r="P24" i="1" s="1"/>
  <c r="Q24" i="1" s="1"/>
  <c r="R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S37" i="1" s="1"/>
  <c r="T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Q44" i="1" s="1"/>
  <c r="R44" i="1" s="1"/>
  <c r="O45" i="1"/>
  <c r="P45" i="1" s="1"/>
  <c r="O46" i="1"/>
  <c r="P46" i="1" s="1"/>
  <c r="O47" i="1"/>
  <c r="P47" i="1" s="1"/>
  <c r="O48" i="1"/>
  <c r="P48" i="1" s="1"/>
  <c r="Q48" i="1" s="1"/>
  <c r="R48" i="1" s="1"/>
  <c r="O49" i="1"/>
  <c r="P49" i="1" s="1"/>
  <c r="S49" i="1" s="1"/>
  <c r="T49" i="1" s="1"/>
  <c r="O50" i="1"/>
  <c r="P50" i="1" s="1"/>
  <c r="O51" i="1"/>
  <c r="P51" i="1" s="1"/>
  <c r="O52" i="1"/>
  <c r="P52" i="1" s="1"/>
  <c r="O53" i="1"/>
  <c r="P53" i="1" s="1"/>
  <c r="O54" i="1"/>
  <c r="P54" i="1" s="1"/>
  <c r="S54" i="1" s="1"/>
  <c r="T54" i="1" s="1"/>
  <c r="O55" i="1"/>
  <c r="P55" i="1" s="1"/>
  <c r="O56" i="1"/>
  <c r="P56" i="1" s="1"/>
  <c r="O57" i="1"/>
  <c r="P57" i="1" s="1"/>
  <c r="S57" i="1" s="1"/>
  <c r="T57" i="1" s="1"/>
  <c r="O58" i="1"/>
  <c r="P58" i="1" s="1"/>
  <c r="O59" i="1"/>
  <c r="P59" i="1" s="1"/>
  <c r="Q59" i="1" s="1"/>
  <c r="R59" i="1" s="1"/>
  <c r="O60" i="1"/>
  <c r="P60" i="1" s="1"/>
  <c r="Q60" i="1" s="1"/>
  <c r="R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Q72" i="1" s="1"/>
  <c r="R72" i="1" s="1"/>
  <c r="O73" i="1"/>
  <c r="P73" i="1" s="1"/>
  <c r="S73" i="1" s="1"/>
  <c r="T73" i="1" s="1"/>
  <c r="O74" i="1"/>
  <c r="P74" i="1" s="1"/>
  <c r="O75" i="1"/>
  <c r="P75" i="1" s="1"/>
  <c r="O76" i="1"/>
  <c r="P76" i="1" s="1"/>
  <c r="O77" i="1"/>
  <c r="P77" i="1" s="1"/>
  <c r="O78" i="1"/>
  <c r="P78" i="1" s="1"/>
  <c r="Q78" i="1" s="1"/>
  <c r="R78" i="1" s="1"/>
  <c r="O79" i="1"/>
  <c r="P79" i="1" s="1"/>
  <c r="O80" i="1"/>
  <c r="P80" i="1" s="1"/>
  <c r="Q80" i="1" s="1"/>
  <c r="R80" i="1" s="1"/>
  <c r="O81" i="1"/>
  <c r="P81" i="1" s="1"/>
  <c r="Q81" i="1" s="1"/>
  <c r="R81" i="1" s="1"/>
  <c r="O82" i="1"/>
  <c r="P82" i="1" s="1"/>
  <c r="O83" i="1"/>
  <c r="P83" i="1" s="1"/>
  <c r="O84" i="1"/>
  <c r="P84" i="1" s="1"/>
  <c r="Q84" i="1" s="1"/>
  <c r="R84" i="1" s="1"/>
  <c r="O85" i="1"/>
  <c r="P85" i="1" s="1"/>
  <c r="O86" i="1"/>
  <c r="P86" i="1" s="1"/>
  <c r="O87" i="1"/>
  <c r="P87" i="1" s="1"/>
  <c r="Q87" i="1" s="1"/>
  <c r="R87" i="1" s="1"/>
  <c r="O88" i="1"/>
  <c r="P88" i="1" s="1"/>
  <c r="O89" i="1"/>
  <c r="P89" i="1" s="1"/>
  <c r="O90" i="1"/>
  <c r="P90" i="1" s="1"/>
  <c r="O91" i="1"/>
  <c r="P91" i="1" s="1"/>
  <c r="O92" i="1"/>
  <c r="P92" i="1" s="1"/>
  <c r="S92" i="1" s="1"/>
  <c r="T92" i="1" s="1"/>
  <c r="O93" i="1"/>
  <c r="P93" i="1" s="1"/>
  <c r="S93" i="1" s="1"/>
  <c r="T93" i="1" s="1"/>
  <c r="O94" i="1"/>
  <c r="P94" i="1" s="1"/>
  <c r="S94" i="1" s="1"/>
  <c r="T94" i="1" s="1"/>
  <c r="O95" i="1"/>
  <c r="P95" i="1" s="1"/>
  <c r="O96" i="1"/>
  <c r="P96" i="1" s="1"/>
  <c r="Q96" i="1" s="1"/>
  <c r="R96" i="1" s="1"/>
  <c r="O97" i="1"/>
  <c r="P97" i="1" s="1"/>
  <c r="O98" i="1"/>
  <c r="P98" i="1" s="1"/>
  <c r="Q98" i="1" s="1"/>
  <c r="R98" i="1" s="1"/>
  <c r="O99" i="1"/>
  <c r="P99" i="1" s="1"/>
  <c r="O100" i="1"/>
  <c r="P100" i="1" s="1"/>
  <c r="Q100" i="1" s="1"/>
  <c r="R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Q108" i="1" s="1"/>
  <c r="R108" i="1" s="1"/>
  <c r="O109" i="1"/>
  <c r="P109" i="1" s="1"/>
  <c r="O110" i="1"/>
  <c r="P110" i="1" s="1"/>
  <c r="S110" i="1" s="1"/>
  <c r="T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Q117" i="1" s="1"/>
  <c r="R117" i="1" s="1"/>
  <c r="O118" i="1"/>
  <c r="P118" i="1" s="1"/>
  <c r="Q118" i="1" s="1"/>
  <c r="R118" i="1" s="1"/>
  <c r="O119" i="1"/>
  <c r="P119" i="1" s="1"/>
  <c r="O120" i="1"/>
  <c r="P120" i="1" s="1"/>
  <c r="Q120" i="1" s="1"/>
  <c r="R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S126" i="1" s="1"/>
  <c r="T126" i="1" s="1"/>
  <c r="O127" i="1"/>
  <c r="P127" i="1" s="1"/>
  <c r="S127" i="1" s="1"/>
  <c r="T127" i="1" s="1"/>
  <c r="O128" i="1"/>
  <c r="P128" i="1" s="1"/>
  <c r="S128" i="1" s="1"/>
  <c r="T128" i="1" s="1"/>
  <c r="O129" i="1"/>
  <c r="P129" i="1" s="1"/>
  <c r="O130" i="1"/>
  <c r="P130" i="1" s="1"/>
  <c r="O131" i="1"/>
  <c r="P131" i="1" s="1"/>
  <c r="S131" i="1" s="1"/>
  <c r="T131" i="1" s="1"/>
  <c r="O132" i="1"/>
  <c r="P132" i="1" s="1"/>
  <c r="Q132" i="1" s="1"/>
  <c r="R132" i="1" s="1"/>
  <c r="O133" i="1"/>
  <c r="P133" i="1" s="1"/>
  <c r="O134" i="1"/>
  <c r="P134" i="1" s="1"/>
  <c r="O135" i="1"/>
  <c r="P135" i="1" s="1"/>
  <c r="Q135" i="1" s="1"/>
  <c r="R135" i="1" s="1"/>
  <c r="O136" i="1"/>
  <c r="P136" i="1" s="1"/>
  <c r="Q136" i="1" s="1"/>
  <c r="R136" i="1" s="1"/>
  <c r="O137" i="1"/>
  <c r="P137" i="1" s="1"/>
  <c r="Q137" i="1" s="1"/>
  <c r="R137" i="1" s="1"/>
  <c r="O138" i="1"/>
  <c r="P138" i="1" s="1"/>
  <c r="O139" i="1"/>
  <c r="P139" i="1" s="1"/>
  <c r="O140" i="1"/>
  <c r="P140" i="1" s="1"/>
  <c r="O141" i="1"/>
  <c r="P141" i="1" s="1"/>
  <c r="S141" i="1" s="1"/>
  <c r="T141" i="1" s="1"/>
  <c r="O142" i="1"/>
  <c r="P142" i="1" s="1"/>
  <c r="S142" i="1" s="1"/>
  <c r="T142" i="1" s="1"/>
  <c r="O143" i="1"/>
  <c r="P143" i="1" s="1"/>
  <c r="O144" i="1"/>
  <c r="P144" i="1" s="1"/>
  <c r="S144" i="1" s="1"/>
  <c r="T144" i="1" s="1"/>
  <c r="O145" i="1"/>
  <c r="P145" i="1" s="1"/>
  <c r="O146" i="1"/>
  <c r="P146" i="1" s="1"/>
  <c r="O147" i="1"/>
  <c r="P147" i="1" s="1"/>
  <c r="S147" i="1" s="1"/>
  <c r="T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Q153" i="1" s="1"/>
  <c r="R153" i="1" s="1"/>
  <c r="O154" i="1"/>
  <c r="P154" i="1" s="1"/>
  <c r="O155" i="1"/>
  <c r="P155" i="1" s="1"/>
  <c r="S155" i="1" s="1"/>
  <c r="T155" i="1" s="1"/>
  <c r="O156" i="1"/>
  <c r="P156" i="1" s="1"/>
  <c r="Q156" i="1" s="1"/>
  <c r="R156" i="1" s="1"/>
  <c r="O157" i="1"/>
  <c r="P157" i="1" s="1"/>
  <c r="S157" i="1" s="1"/>
  <c r="T157" i="1" s="1"/>
  <c r="O158" i="1"/>
  <c r="P158" i="1" s="1"/>
  <c r="Q158" i="1" s="1"/>
  <c r="R158" i="1" s="1"/>
  <c r="O159" i="1"/>
  <c r="P159" i="1" s="1"/>
  <c r="Q159" i="1" s="1"/>
  <c r="R159" i="1" s="1"/>
  <c r="O160" i="1"/>
  <c r="P160" i="1" s="1"/>
  <c r="S160" i="1" s="1"/>
  <c r="T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S168" i="1" s="1"/>
  <c r="T168" i="1" s="1"/>
  <c r="O169" i="1"/>
  <c r="P169" i="1" s="1"/>
  <c r="O170" i="1"/>
  <c r="P170" i="1" s="1"/>
  <c r="O171" i="1"/>
  <c r="P171" i="1" s="1"/>
  <c r="S171" i="1" s="1"/>
  <c r="T171" i="1" s="1"/>
  <c r="O172" i="1"/>
  <c r="P172" i="1" s="1"/>
  <c r="O173" i="1"/>
  <c r="P173" i="1" s="1"/>
  <c r="Q173" i="1" s="1"/>
  <c r="R173" i="1" s="1"/>
  <c r="O174" i="1"/>
  <c r="P174" i="1" s="1"/>
  <c r="O175" i="1"/>
  <c r="P175" i="1" s="1"/>
  <c r="O176" i="1"/>
  <c r="P176" i="1" s="1"/>
  <c r="O177" i="1"/>
  <c r="P177" i="1" s="1"/>
  <c r="Q177" i="1" s="1"/>
  <c r="R177" i="1" s="1"/>
  <c r="O178" i="1"/>
  <c r="P178" i="1" s="1"/>
  <c r="O179" i="1"/>
  <c r="P179" i="1" s="1"/>
  <c r="O180" i="1"/>
  <c r="P180" i="1" s="1"/>
  <c r="S180" i="1" s="1"/>
  <c r="T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S189" i="1" s="1"/>
  <c r="T189" i="1" s="1"/>
  <c r="O190" i="1"/>
  <c r="P190" i="1" s="1"/>
  <c r="S190" i="1" s="1"/>
  <c r="T190" i="1" s="1"/>
  <c r="O191" i="1"/>
  <c r="P191" i="1" s="1"/>
  <c r="S191" i="1" s="1"/>
  <c r="T191" i="1" s="1"/>
  <c r="O192" i="1"/>
  <c r="P192" i="1" s="1"/>
  <c r="Q192" i="1" s="1"/>
  <c r="R192" i="1" s="1"/>
  <c r="O193" i="1"/>
  <c r="P193" i="1" s="1"/>
  <c r="O194" i="1"/>
  <c r="P194" i="1" s="1"/>
  <c r="Q194" i="1" s="1"/>
  <c r="R194" i="1" s="1"/>
  <c r="O195" i="1"/>
  <c r="P195" i="1" s="1"/>
  <c r="O196" i="1"/>
  <c r="P196" i="1" s="1"/>
  <c r="O197" i="1"/>
  <c r="P197" i="1" s="1"/>
  <c r="S197" i="1" s="1"/>
  <c r="T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S204" i="1" s="1"/>
  <c r="T204" i="1" s="1"/>
  <c r="O205" i="1"/>
  <c r="P205" i="1" s="1"/>
  <c r="S205" i="1" s="1"/>
  <c r="T205" i="1" s="1"/>
  <c r="O206" i="1"/>
  <c r="P206" i="1" s="1"/>
  <c r="O207" i="1"/>
  <c r="P207" i="1" s="1"/>
  <c r="O208" i="1"/>
  <c r="P208" i="1" s="1"/>
  <c r="O209" i="1"/>
  <c r="P209" i="1" s="1"/>
  <c r="Q209" i="1" s="1"/>
  <c r="R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Q215" i="1" s="1"/>
  <c r="R215" i="1" s="1"/>
  <c r="O216" i="1"/>
  <c r="P216" i="1" s="1"/>
  <c r="Q216" i="1" s="1"/>
  <c r="R216" i="1" s="1"/>
  <c r="O217" i="1"/>
  <c r="P217" i="1" s="1"/>
  <c r="O218" i="1"/>
  <c r="P218" i="1" s="1"/>
  <c r="O219" i="1"/>
  <c r="P219" i="1" s="1"/>
  <c r="O220" i="1"/>
  <c r="P220" i="1" s="1"/>
  <c r="S220" i="1" s="1"/>
  <c r="T220" i="1" s="1"/>
  <c r="O221" i="1"/>
  <c r="P221" i="1" s="1"/>
  <c r="O222" i="1"/>
  <c r="P222" i="1" s="1"/>
  <c r="Q222" i="1" s="1"/>
  <c r="R222" i="1" s="1"/>
  <c r="O223" i="1"/>
  <c r="P223" i="1" s="1"/>
  <c r="S223" i="1" s="1"/>
  <c r="T223" i="1" s="1"/>
  <c r="O224" i="1"/>
  <c r="P224" i="1" s="1"/>
  <c r="O225" i="1"/>
  <c r="P225" i="1" s="1"/>
  <c r="O226" i="1"/>
  <c r="P226" i="1" s="1"/>
  <c r="O227" i="1"/>
  <c r="P227" i="1" s="1"/>
  <c r="O228" i="1"/>
  <c r="P228" i="1" s="1"/>
  <c r="S228" i="1" s="1"/>
  <c r="T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S236" i="1" s="1"/>
  <c r="T236" i="1" s="1"/>
  <c r="O237" i="1"/>
  <c r="P237" i="1" s="1"/>
  <c r="O238" i="1"/>
  <c r="P238" i="1" s="1"/>
  <c r="S238" i="1" s="1"/>
  <c r="T238" i="1" s="1"/>
  <c r="O239" i="1"/>
  <c r="P239" i="1" s="1"/>
  <c r="S239" i="1" s="1"/>
  <c r="T239" i="1" s="1"/>
  <c r="O240" i="1"/>
  <c r="P240" i="1" s="1"/>
  <c r="S240" i="1" s="1"/>
  <c r="T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Q250" i="1" s="1"/>
  <c r="R250" i="1" s="1"/>
  <c r="O251" i="1"/>
  <c r="P251" i="1" s="1"/>
  <c r="S251" i="1" s="1"/>
  <c r="T251" i="1" s="1"/>
  <c r="O252" i="1"/>
  <c r="P252" i="1" s="1"/>
  <c r="Q252" i="1" s="1"/>
  <c r="R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S265" i="1" s="1"/>
  <c r="T265" i="1" s="1"/>
  <c r="O266" i="1"/>
  <c r="P266" i="1" s="1"/>
  <c r="O267" i="1"/>
  <c r="P267" i="1" s="1"/>
  <c r="S267" i="1" s="1"/>
  <c r="T267" i="1" s="1"/>
  <c r="O268" i="1"/>
  <c r="P268" i="1" s="1"/>
  <c r="O269" i="1"/>
  <c r="P269" i="1" s="1"/>
  <c r="Q269" i="1" s="1"/>
  <c r="R269" i="1" s="1"/>
  <c r="O270" i="1"/>
  <c r="P270" i="1" s="1"/>
  <c r="O271" i="1"/>
  <c r="P271" i="1" s="1"/>
  <c r="O272" i="1"/>
  <c r="P272" i="1" s="1"/>
  <c r="O273" i="1"/>
  <c r="P273" i="1" s="1"/>
  <c r="Q273" i="1" s="1"/>
  <c r="R273" i="1" s="1"/>
  <c r="O274" i="1"/>
  <c r="P274" i="1" s="1"/>
  <c r="O275" i="1"/>
  <c r="P275" i="1" s="1"/>
  <c r="Q275" i="1" s="1"/>
  <c r="R275" i="1" s="1"/>
  <c r="O276" i="1"/>
  <c r="P276" i="1" s="1"/>
  <c r="O277" i="1"/>
  <c r="P277" i="1" s="1"/>
  <c r="O278" i="1"/>
  <c r="P278" i="1" s="1"/>
  <c r="O279" i="1"/>
  <c r="P279" i="1" s="1"/>
  <c r="S279" i="1" s="1"/>
  <c r="T279" i="1" s="1"/>
  <c r="O280" i="1"/>
  <c r="P280" i="1" s="1"/>
  <c r="O281" i="1"/>
  <c r="P281" i="1" s="1"/>
  <c r="S281" i="1" s="1"/>
  <c r="T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Q287" i="1" s="1"/>
  <c r="R287" i="1" s="1"/>
  <c r="O288" i="1"/>
  <c r="P288" i="1" s="1"/>
  <c r="Q288" i="1" s="1"/>
  <c r="R288" i="1" s="1"/>
  <c r="O289" i="1"/>
  <c r="P289" i="1" s="1"/>
  <c r="Q289" i="1" s="1"/>
  <c r="R289" i="1" s="1"/>
  <c r="O290" i="1"/>
  <c r="P290" i="1" s="1"/>
  <c r="O291" i="1"/>
  <c r="P291" i="1" s="1"/>
  <c r="Q291" i="1" s="1"/>
  <c r="R291" i="1" s="1"/>
  <c r="O292" i="1"/>
  <c r="P292" i="1" s="1"/>
  <c r="O293" i="1"/>
  <c r="P293" i="1" s="1"/>
  <c r="O294" i="1"/>
  <c r="P294" i="1" s="1"/>
  <c r="O295" i="1"/>
  <c r="P295" i="1" s="1"/>
  <c r="O296" i="1"/>
  <c r="P296" i="1" s="1"/>
  <c r="S296" i="1" s="1"/>
  <c r="T296" i="1" s="1"/>
  <c r="O297" i="1"/>
  <c r="P297" i="1" s="1"/>
  <c r="O298" i="1"/>
  <c r="P298" i="1" s="1"/>
  <c r="O2" i="1"/>
  <c r="P2" i="1" s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Q144" i="1" l="1"/>
  <c r="R144" i="1" s="1"/>
  <c r="Q204" i="1"/>
  <c r="R204" i="1" s="1"/>
  <c r="S120" i="1"/>
  <c r="T120" i="1" s="1"/>
  <c r="S24" i="1"/>
  <c r="T24" i="1" s="1"/>
  <c r="Q213" i="1"/>
  <c r="R213" i="1" s="1"/>
  <c r="S213" i="1"/>
  <c r="T213" i="1" s="1"/>
  <c r="Q205" i="1"/>
  <c r="R205" i="1" s="1"/>
  <c r="Q57" i="1"/>
  <c r="R57" i="1" s="1"/>
  <c r="S291" i="1"/>
  <c r="T291" i="1" s="1"/>
  <c r="S273" i="1"/>
  <c r="T273" i="1" s="1"/>
  <c r="S252" i="1"/>
  <c r="T252" i="1" s="1"/>
  <c r="S156" i="1"/>
  <c r="T156" i="1" s="1"/>
  <c r="S112" i="1"/>
  <c r="T112" i="1" s="1"/>
  <c r="Q112" i="1"/>
  <c r="R112" i="1" s="1"/>
  <c r="S111" i="1"/>
  <c r="T111" i="1" s="1"/>
  <c r="Q111" i="1"/>
  <c r="R111" i="1" s="1"/>
  <c r="S39" i="1"/>
  <c r="T39" i="1" s="1"/>
  <c r="Q39" i="1"/>
  <c r="R39" i="1" s="1"/>
  <c r="Q3" i="1"/>
  <c r="R3" i="1" s="1"/>
  <c r="S3" i="1"/>
  <c r="T3" i="1" s="1"/>
  <c r="S161" i="1"/>
  <c r="T161" i="1" s="1"/>
  <c r="Q161" i="1"/>
  <c r="R161" i="1" s="1"/>
  <c r="Q41" i="1"/>
  <c r="R41" i="1" s="1"/>
  <c r="S41" i="1"/>
  <c r="T41" i="1" s="1"/>
  <c r="S75" i="1"/>
  <c r="T75" i="1" s="1"/>
  <c r="Q75" i="1"/>
  <c r="R75" i="1" s="1"/>
  <c r="S293" i="1"/>
  <c r="T293" i="1" s="1"/>
  <c r="Q293" i="1"/>
  <c r="R293" i="1" s="1"/>
  <c r="S221" i="1"/>
  <c r="T221" i="1" s="1"/>
  <c r="Q221" i="1"/>
  <c r="R221" i="1" s="1"/>
  <c r="Q77" i="1"/>
  <c r="R77" i="1" s="1"/>
  <c r="S77" i="1"/>
  <c r="T77" i="1" s="1"/>
  <c r="Q231" i="1"/>
  <c r="R231" i="1" s="1"/>
  <c r="S231" i="1"/>
  <c r="T231" i="1" s="1"/>
  <c r="S219" i="1"/>
  <c r="T219" i="1" s="1"/>
  <c r="Q219" i="1"/>
  <c r="R219" i="1" s="1"/>
  <c r="Q195" i="1"/>
  <c r="R195" i="1" s="1"/>
  <c r="S195" i="1"/>
  <c r="T195" i="1" s="1"/>
  <c r="Q51" i="1"/>
  <c r="R51" i="1" s="1"/>
  <c r="S51" i="1"/>
  <c r="T51" i="1" s="1"/>
  <c r="S35" i="1"/>
  <c r="T35" i="1" s="1"/>
  <c r="Q35" i="1"/>
  <c r="R35" i="1" s="1"/>
  <c r="S280" i="1"/>
  <c r="T280" i="1" s="1"/>
  <c r="Q280" i="1"/>
  <c r="R280" i="1" s="1"/>
  <c r="S207" i="1"/>
  <c r="T207" i="1" s="1"/>
  <c r="Q207" i="1"/>
  <c r="R207" i="1" s="1"/>
  <c r="Q63" i="1"/>
  <c r="R63" i="1" s="1"/>
  <c r="S63" i="1"/>
  <c r="T63" i="1" s="1"/>
  <c r="S15" i="1"/>
  <c r="T15" i="1" s="1"/>
  <c r="Q15" i="1"/>
  <c r="R15" i="1" s="1"/>
  <c r="S253" i="1"/>
  <c r="T253" i="1" s="1"/>
  <c r="Q253" i="1"/>
  <c r="R253" i="1" s="1"/>
  <c r="S294" i="1"/>
  <c r="T294" i="1" s="1"/>
  <c r="Q294" i="1"/>
  <c r="R294" i="1" s="1"/>
  <c r="Q234" i="1"/>
  <c r="R234" i="1" s="1"/>
  <c r="S234" i="1"/>
  <c r="T234" i="1" s="1"/>
  <c r="Q210" i="1"/>
  <c r="R210" i="1" s="1"/>
  <c r="S210" i="1"/>
  <c r="T210" i="1" s="1"/>
  <c r="Q174" i="1"/>
  <c r="R174" i="1" s="1"/>
  <c r="S174" i="1"/>
  <c r="T174" i="1" s="1"/>
  <c r="S173" i="1"/>
  <c r="T173" i="1" s="1"/>
  <c r="Q94" i="1"/>
  <c r="R94" i="1" s="1"/>
  <c r="S177" i="1"/>
  <c r="T177" i="1" s="1"/>
  <c r="Q93" i="1"/>
  <c r="R93" i="1" s="1"/>
  <c r="Q267" i="1"/>
  <c r="R267" i="1" s="1"/>
  <c r="S18" i="1"/>
  <c r="T18" i="1" s="1"/>
  <c r="S250" i="1"/>
  <c r="T250" i="1" s="1"/>
  <c r="S100" i="1"/>
  <c r="T100" i="1" s="1"/>
  <c r="Q160" i="1"/>
  <c r="R160" i="1" s="1"/>
  <c r="Q37" i="1"/>
  <c r="R37" i="1" s="1"/>
  <c r="S96" i="1"/>
  <c r="T96" i="1" s="1"/>
  <c r="Q238" i="1"/>
  <c r="R238" i="1" s="1"/>
  <c r="Q155" i="1"/>
  <c r="R155" i="1" s="1"/>
  <c r="S87" i="1"/>
  <c r="T87" i="1" s="1"/>
  <c r="S78" i="1"/>
  <c r="T78" i="1" s="1"/>
  <c r="Q220" i="1"/>
  <c r="R220" i="1" s="1"/>
  <c r="Q110" i="1"/>
  <c r="R110" i="1" s="1"/>
  <c r="S192" i="1"/>
  <c r="T192" i="1" s="1"/>
  <c r="S60" i="1"/>
  <c r="T60" i="1" s="1"/>
  <c r="S200" i="1"/>
  <c r="T200" i="1" s="1"/>
  <c r="Q200" i="1"/>
  <c r="R200" i="1" s="1"/>
  <c r="S151" i="1"/>
  <c r="T151" i="1" s="1"/>
  <c r="Q151" i="1"/>
  <c r="R151" i="1" s="1"/>
  <c r="S176" i="1"/>
  <c r="T176" i="1" s="1"/>
  <c r="Q176" i="1"/>
  <c r="R176" i="1" s="1"/>
  <c r="S68" i="1"/>
  <c r="T68" i="1" s="1"/>
  <c r="Q68" i="1"/>
  <c r="R68" i="1" s="1"/>
  <c r="S295" i="1"/>
  <c r="T295" i="1" s="1"/>
  <c r="Q295" i="1"/>
  <c r="R295" i="1" s="1"/>
  <c r="S67" i="1"/>
  <c r="T67" i="1" s="1"/>
  <c r="Q67" i="1"/>
  <c r="R67" i="1" s="1"/>
  <c r="S188" i="1"/>
  <c r="T188" i="1" s="1"/>
  <c r="Q188" i="1"/>
  <c r="R188" i="1" s="1"/>
  <c r="Q56" i="1"/>
  <c r="R56" i="1" s="1"/>
  <c r="S56" i="1"/>
  <c r="T56" i="1" s="1"/>
  <c r="S187" i="1"/>
  <c r="T187" i="1" s="1"/>
  <c r="Q187" i="1"/>
  <c r="R187" i="1" s="1"/>
  <c r="S163" i="1"/>
  <c r="T163" i="1" s="1"/>
  <c r="Q163" i="1"/>
  <c r="R163" i="1" s="1"/>
  <c r="S55" i="1"/>
  <c r="T55" i="1" s="1"/>
  <c r="Q55" i="1"/>
  <c r="R55" i="1" s="1"/>
  <c r="S268" i="1"/>
  <c r="T268" i="1" s="1"/>
  <c r="Q268" i="1"/>
  <c r="R268" i="1" s="1"/>
  <c r="S254" i="1"/>
  <c r="T254" i="1" s="1"/>
  <c r="Q254" i="1"/>
  <c r="R254" i="1" s="1"/>
  <c r="Q164" i="1"/>
  <c r="R164" i="1" s="1"/>
  <c r="S164" i="1"/>
  <c r="T164" i="1" s="1"/>
  <c r="S175" i="1"/>
  <c r="T175" i="1" s="1"/>
  <c r="Q175" i="1"/>
  <c r="R175" i="1" s="1"/>
  <c r="S256" i="1"/>
  <c r="T256" i="1" s="1"/>
  <c r="Q256" i="1"/>
  <c r="R256" i="1" s="1"/>
  <c r="S266" i="1"/>
  <c r="T266" i="1" s="1"/>
  <c r="Q266" i="1"/>
  <c r="R266" i="1" s="1"/>
  <c r="Q230" i="1"/>
  <c r="R230" i="1" s="1"/>
  <c r="S230" i="1"/>
  <c r="T230" i="1" s="1"/>
  <c r="Q116" i="1"/>
  <c r="R116" i="1" s="1"/>
  <c r="S116" i="1"/>
  <c r="T116" i="1" s="1"/>
  <c r="S259" i="1"/>
  <c r="T259" i="1" s="1"/>
  <c r="Q259" i="1"/>
  <c r="R259" i="1" s="1"/>
  <c r="S115" i="1"/>
  <c r="T115" i="1" s="1"/>
  <c r="Q115" i="1"/>
  <c r="R115" i="1" s="1"/>
  <c r="S7" i="1"/>
  <c r="T7" i="1" s="1"/>
  <c r="Q7" i="1"/>
  <c r="R7" i="1" s="1"/>
  <c r="Q246" i="1"/>
  <c r="R246" i="1" s="1"/>
  <c r="S246" i="1"/>
  <c r="T246" i="1" s="1"/>
  <c r="S42" i="1"/>
  <c r="T42" i="1" s="1"/>
  <c r="Q42" i="1"/>
  <c r="R42" i="1" s="1"/>
  <c r="S245" i="1"/>
  <c r="T245" i="1" s="1"/>
  <c r="Q245" i="1"/>
  <c r="R245" i="1" s="1"/>
  <c r="S233" i="1"/>
  <c r="T233" i="1" s="1"/>
  <c r="Q233" i="1"/>
  <c r="R233" i="1" s="1"/>
  <c r="S185" i="1"/>
  <c r="T185" i="1" s="1"/>
  <c r="Q185" i="1"/>
  <c r="R185" i="1" s="1"/>
  <c r="S101" i="1"/>
  <c r="T101" i="1" s="1"/>
  <c r="Q101" i="1"/>
  <c r="R101" i="1" s="1"/>
  <c r="S232" i="1"/>
  <c r="T232" i="1" s="1"/>
  <c r="Q232" i="1"/>
  <c r="R232" i="1" s="1"/>
  <c r="S184" i="1"/>
  <c r="T184" i="1" s="1"/>
  <c r="Q184" i="1"/>
  <c r="R184" i="1" s="1"/>
  <c r="Q76" i="1"/>
  <c r="R76" i="1" s="1"/>
  <c r="S76" i="1"/>
  <c r="T76" i="1" s="1"/>
  <c r="Q157" i="1"/>
  <c r="R157" i="1" s="1"/>
  <c r="S81" i="1"/>
  <c r="T81" i="1" s="1"/>
  <c r="S22" i="1"/>
  <c r="T22" i="1" s="1"/>
  <c r="S140" i="1"/>
  <c r="T140" i="1" s="1"/>
  <c r="Q140" i="1"/>
  <c r="R140" i="1" s="1"/>
  <c r="S271" i="1"/>
  <c r="T271" i="1" s="1"/>
  <c r="Q271" i="1"/>
  <c r="R271" i="1" s="1"/>
  <c r="Q217" i="1"/>
  <c r="R217" i="1" s="1"/>
  <c r="S217" i="1"/>
  <c r="T217" i="1" s="1"/>
  <c r="Q198" i="1"/>
  <c r="R198" i="1" s="1"/>
  <c r="S198" i="1"/>
  <c r="T198" i="1" s="1"/>
  <c r="S114" i="1"/>
  <c r="T114" i="1" s="1"/>
  <c r="Q114" i="1"/>
  <c r="R114" i="1" s="1"/>
  <c r="S71" i="1"/>
  <c r="T71" i="1" s="1"/>
  <c r="Q71" i="1"/>
  <c r="R71" i="1" s="1"/>
  <c r="S14" i="1"/>
  <c r="T14" i="1" s="1"/>
  <c r="Q14" i="1"/>
  <c r="R14" i="1" s="1"/>
  <c r="S113" i="1"/>
  <c r="T113" i="1" s="1"/>
  <c r="Q113" i="1"/>
  <c r="R113" i="1" s="1"/>
  <c r="S89" i="1"/>
  <c r="T89" i="1" s="1"/>
  <c r="Q89" i="1"/>
  <c r="R89" i="1" s="1"/>
  <c r="Q65" i="1"/>
  <c r="R65" i="1" s="1"/>
  <c r="S65" i="1"/>
  <c r="T65" i="1" s="1"/>
  <c r="S29" i="1"/>
  <c r="T29" i="1" s="1"/>
  <c r="Q29" i="1"/>
  <c r="R29" i="1" s="1"/>
  <c r="S214" i="1"/>
  <c r="T214" i="1" s="1"/>
  <c r="Q214" i="1"/>
  <c r="R214" i="1" s="1"/>
  <c r="S97" i="1"/>
  <c r="T97" i="1" s="1"/>
  <c r="Q97" i="1"/>
  <c r="R97" i="1" s="1"/>
  <c r="S13" i="1"/>
  <c r="T13" i="1" s="1"/>
  <c r="Q13" i="1"/>
  <c r="R13" i="1" s="1"/>
  <c r="Q20" i="1"/>
  <c r="R20" i="1" s="1"/>
  <c r="S158" i="1"/>
  <c r="T158" i="1" s="1"/>
  <c r="Q244" i="1"/>
  <c r="R244" i="1" s="1"/>
  <c r="S244" i="1"/>
  <c r="T244" i="1" s="1"/>
  <c r="S208" i="1"/>
  <c r="T208" i="1" s="1"/>
  <c r="Q208" i="1"/>
  <c r="R208" i="1" s="1"/>
  <c r="Q196" i="1"/>
  <c r="R196" i="1" s="1"/>
  <c r="S196" i="1"/>
  <c r="T196" i="1" s="1"/>
  <c r="Q172" i="1"/>
  <c r="R172" i="1" s="1"/>
  <c r="S172" i="1"/>
  <c r="T172" i="1" s="1"/>
  <c r="S88" i="1"/>
  <c r="T88" i="1" s="1"/>
  <c r="Q88" i="1"/>
  <c r="R88" i="1" s="1"/>
  <c r="Q64" i="1"/>
  <c r="R64" i="1" s="1"/>
  <c r="S64" i="1"/>
  <c r="T64" i="1" s="1"/>
  <c r="Q52" i="1"/>
  <c r="R52" i="1" s="1"/>
  <c r="S52" i="1"/>
  <c r="T52" i="1" s="1"/>
  <c r="Q16" i="1"/>
  <c r="R16" i="1" s="1"/>
  <c r="S16" i="1"/>
  <c r="T16" i="1" s="1"/>
  <c r="Q4" i="1"/>
  <c r="R4" i="1" s="1"/>
  <c r="S4" i="1"/>
  <c r="T4" i="1" s="1"/>
  <c r="Q95" i="1"/>
  <c r="R95" i="1" s="1"/>
  <c r="S95" i="1"/>
  <c r="T95" i="1" s="1"/>
  <c r="S40" i="1"/>
  <c r="T40" i="1" s="1"/>
  <c r="Q40" i="1"/>
  <c r="R40" i="1" s="1"/>
  <c r="S11" i="1"/>
  <c r="T11" i="1" s="1"/>
  <c r="Q11" i="1"/>
  <c r="R11" i="1" s="1"/>
  <c r="Q265" i="1"/>
  <c r="R265" i="1" s="1"/>
  <c r="S125" i="1"/>
  <c r="T125" i="1" s="1"/>
  <c r="Q125" i="1"/>
  <c r="R125" i="1" s="1"/>
  <c r="Q92" i="1"/>
  <c r="R92" i="1" s="1"/>
  <c r="S153" i="1"/>
  <c r="T153" i="1" s="1"/>
  <c r="S80" i="1"/>
  <c r="T80" i="1" s="1"/>
  <c r="S272" i="1"/>
  <c r="T272" i="1" s="1"/>
  <c r="Q272" i="1"/>
  <c r="R272" i="1" s="1"/>
  <c r="S211" i="1"/>
  <c r="T211" i="1" s="1"/>
  <c r="Q211" i="1"/>
  <c r="R211" i="1" s="1"/>
  <c r="S79" i="1"/>
  <c r="T79" i="1" s="1"/>
  <c r="Q79" i="1"/>
  <c r="R79" i="1" s="1"/>
  <c r="S290" i="1"/>
  <c r="T290" i="1" s="1"/>
  <c r="Q290" i="1"/>
  <c r="R290" i="1" s="1"/>
  <c r="Q218" i="1"/>
  <c r="R218" i="1" s="1"/>
  <c r="S218" i="1"/>
  <c r="T218" i="1" s="1"/>
  <c r="S206" i="1"/>
  <c r="T206" i="1" s="1"/>
  <c r="Q206" i="1"/>
  <c r="R206" i="1" s="1"/>
  <c r="Q182" i="1"/>
  <c r="R182" i="1" s="1"/>
  <c r="S182" i="1"/>
  <c r="T182" i="1" s="1"/>
  <c r="Q170" i="1"/>
  <c r="R170" i="1" s="1"/>
  <c r="S170" i="1"/>
  <c r="T170" i="1" s="1"/>
  <c r="Q146" i="1"/>
  <c r="R146" i="1" s="1"/>
  <c r="S146" i="1"/>
  <c r="T146" i="1" s="1"/>
  <c r="Q134" i="1"/>
  <c r="R134" i="1" s="1"/>
  <c r="S134" i="1"/>
  <c r="T134" i="1" s="1"/>
  <c r="Q74" i="1"/>
  <c r="R74" i="1" s="1"/>
  <c r="S74" i="1"/>
  <c r="T74" i="1" s="1"/>
  <c r="S62" i="1"/>
  <c r="T62" i="1" s="1"/>
  <c r="Q62" i="1"/>
  <c r="R62" i="1" s="1"/>
  <c r="S50" i="1"/>
  <c r="T50" i="1" s="1"/>
  <c r="Q50" i="1"/>
  <c r="R50" i="1" s="1"/>
  <c r="Q38" i="1"/>
  <c r="R38" i="1" s="1"/>
  <c r="S38" i="1"/>
  <c r="T38" i="1" s="1"/>
  <c r="S124" i="1"/>
  <c r="T124" i="1" s="1"/>
  <c r="Q124" i="1"/>
  <c r="R124" i="1" s="1"/>
  <c r="S215" i="1"/>
  <c r="T215" i="1" s="1"/>
  <c r="S137" i="1"/>
  <c r="T137" i="1" s="1"/>
  <c r="S277" i="1"/>
  <c r="T277" i="1" s="1"/>
  <c r="Q277" i="1"/>
  <c r="R277" i="1" s="1"/>
  <c r="S193" i="1"/>
  <c r="T193" i="1" s="1"/>
  <c r="Q193" i="1"/>
  <c r="R193" i="1" s="1"/>
  <c r="S181" i="1"/>
  <c r="T181" i="1" s="1"/>
  <c r="Q181" i="1"/>
  <c r="R181" i="1" s="1"/>
  <c r="S169" i="1"/>
  <c r="T169" i="1" s="1"/>
  <c r="Q169" i="1"/>
  <c r="R169" i="1" s="1"/>
  <c r="Q145" i="1"/>
  <c r="R145" i="1" s="1"/>
  <c r="S145" i="1"/>
  <c r="T145" i="1" s="1"/>
  <c r="S133" i="1"/>
  <c r="T133" i="1" s="1"/>
  <c r="Q133" i="1"/>
  <c r="R133" i="1" s="1"/>
  <c r="Q121" i="1"/>
  <c r="R121" i="1" s="1"/>
  <c r="S121" i="1"/>
  <c r="T121" i="1" s="1"/>
  <c r="S61" i="1"/>
  <c r="T61" i="1" s="1"/>
  <c r="Q61" i="1"/>
  <c r="R61" i="1" s="1"/>
  <c r="Q229" i="1"/>
  <c r="R229" i="1" s="1"/>
  <c r="S229" i="1"/>
  <c r="T229" i="1" s="1"/>
  <c r="Q150" i="1"/>
  <c r="R150" i="1" s="1"/>
  <c r="S150" i="1"/>
  <c r="T150" i="1" s="1"/>
  <c r="S123" i="1"/>
  <c r="T123" i="1" s="1"/>
  <c r="Q123" i="1"/>
  <c r="R123" i="1" s="1"/>
  <c r="S86" i="1"/>
  <c r="T86" i="1" s="1"/>
  <c r="Q86" i="1"/>
  <c r="R86" i="1" s="1"/>
  <c r="S28" i="1"/>
  <c r="T28" i="1" s="1"/>
  <c r="Q28" i="1"/>
  <c r="R28" i="1" s="1"/>
  <c r="Q251" i="1"/>
  <c r="R251" i="1" s="1"/>
  <c r="Q142" i="1"/>
  <c r="R142" i="1" s="1"/>
  <c r="S289" i="1"/>
  <c r="T289" i="1" s="1"/>
  <c r="S136" i="1"/>
  <c r="T136" i="1" s="1"/>
  <c r="S276" i="1"/>
  <c r="T276" i="1" s="1"/>
  <c r="Q276" i="1"/>
  <c r="R276" i="1" s="1"/>
  <c r="S264" i="1"/>
  <c r="T264" i="1" s="1"/>
  <c r="Q264" i="1"/>
  <c r="R264" i="1" s="1"/>
  <c r="Q227" i="1"/>
  <c r="R227" i="1" s="1"/>
  <c r="S227" i="1"/>
  <c r="T227" i="1" s="1"/>
  <c r="S203" i="1"/>
  <c r="T203" i="1" s="1"/>
  <c r="Q203" i="1"/>
  <c r="R203" i="1" s="1"/>
  <c r="Q149" i="1"/>
  <c r="R149" i="1" s="1"/>
  <c r="S149" i="1"/>
  <c r="T149" i="1" s="1"/>
  <c r="Q122" i="1"/>
  <c r="R122" i="1" s="1"/>
  <c r="S122" i="1"/>
  <c r="T122" i="1" s="1"/>
  <c r="S85" i="1"/>
  <c r="T85" i="1" s="1"/>
  <c r="Q85" i="1"/>
  <c r="R85" i="1" s="1"/>
  <c r="Q27" i="1"/>
  <c r="R27" i="1" s="1"/>
  <c r="S27" i="1"/>
  <c r="T27" i="1" s="1"/>
  <c r="Q296" i="1"/>
  <c r="R296" i="1" s="1"/>
  <c r="Q239" i="1"/>
  <c r="R239" i="1" s="1"/>
  <c r="Q191" i="1"/>
  <c r="R191" i="1" s="1"/>
  <c r="Q141" i="1"/>
  <c r="R141" i="1" s="1"/>
  <c r="Q73" i="1"/>
  <c r="R73" i="1" s="1"/>
  <c r="S288" i="1"/>
  <c r="T288" i="1" s="1"/>
  <c r="S135" i="1"/>
  <c r="T135" i="1" s="1"/>
  <c r="S284" i="1"/>
  <c r="T284" i="1" s="1"/>
  <c r="Q284" i="1"/>
  <c r="R284" i="1" s="1"/>
  <c r="Q152" i="1"/>
  <c r="R152" i="1" s="1"/>
  <c r="S152" i="1"/>
  <c r="T152" i="1" s="1"/>
  <c r="S103" i="1"/>
  <c r="T103" i="1" s="1"/>
  <c r="Q103" i="1"/>
  <c r="R103" i="1" s="1"/>
  <c r="S107" i="1"/>
  <c r="T107" i="1" s="1"/>
  <c r="Q107" i="1"/>
  <c r="R107" i="1" s="1"/>
  <c r="Q224" i="1"/>
  <c r="R224" i="1" s="1"/>
  <c r="S224" i="1"/>
  <c r="T224" i="1" s="1"/>
  <c r="Q104" i="1"/>
  <c r="R104" i="1" s="1"/>
  <c r="S104" i="1"/>
  <c r="T104" i="1" s="1"/>
  <c r="S247" i="1"/>
  <c r="T247" i="1" s="1"/>
  <c r="Q247" i="1"/>
  <c r="R247" i="1" s="1"/>
  <c r="S139" i="1"/>
  <c r="T139" i="1" s="1"/>
  <c r="Q139" i="1"/>
  <c r="R139" i="1" s="1"/>
  <c r="S43" i="1"/>
  <c r="T43" i="1" s="1"/>
  <c r="Q43" i="1"/>
  <c r="R43" i="1" s="1"/>
  <c r="S242" i="1"/>
  <c r="T242" i="1" s="1"/>
  <c r="Q242" i="1"/>
  <c r="R242" i="1" s="1"/>
  <c r="S258" i="1"/>
  <c r="T258" i="1" s="1"/>
  <c r="Q258" i="1"/>
  <c r="R258" i="1" s="1"/>
  <c r="S263" i="1"/>
  <c r="T263" i="1" s="1"/>
  <c r="Q263" i="1"/>
  <c r="R263" i="1" s="1"/>
  <c r="S167" i="1"/>
  <c r="T167" i="1" s="1"/>
  <c r="Q167" i="1"/>
  <c r="R167" i="1" s="1"/>
  <c r="S119" i="1"/>
  <c r="T119" i="1" s="1"/>
  <c r="Q119" i="1"/>
  <c r="R119" i="1" s="1"/>
  <c r="S23" i="1"/>
  <c r="T23" i="1" s="1"/>
  <c r="Q23" i="1"/>
  <c r="R23" i="1" s="1"/>
  <c r="S255" i="1"/>
  <c r="T255" i="1" s="1"/>
  <c r="Q255" i="1"/>
  <c r="R255" i="1" s="1"/>
  <c r="S202" i="1"/>
  <c r="T202" i="1" s="1"/>
  <c r="Q202" i="1"/>
  <c r="R202" i="1" s="1"/>
  <c r="S83" i="1"/>
  <c r="T83" i="1" s="1"/>
  <c r="Q83" i="1"/>
  <c r="R83" i="1" s="1"/>
  <c r="S26" i="1"/>
  <c r="T26" i="1" s="1"/>
  <c r="Q26" i="1"/>
  <c r="R26" i="1" s="1"/>
  <c r="Q128" i="1"/>
  <c r="R128" i="1" s="1"/>
  <c r="S298" i="1"/>
  <c r="T298" i="1" s="1"/>
  <c r="Q298" i="1"/>
  <c r="R298" i="1" s="1"/>
  <c r="S70" i="1"/>
  <c r="T70" i="1" s="1"/>
  <c r="Q70" i="1"/>
  <c r="R70" i="1" s="1"/>
  <c r="S10" i="1"/>
  <c r="T10" i="1" s="1"/>
  <c r="Q10" i="1"/>
  <c r="R10" i="1" s="1"/>
  <c r="S201" i="1"/>
  <c r="T201" i="1" s="1"/>
  <c r="Q201" i="1"/>
  <c r="R201" i="1" s="1"/>
  <c r="S53" i="1"/>
  <c r="T53" i="1" s="1"/>
  <c r="Q53" i="1"/>
  <c r="R53" i="1" s="1"/>
  <c r="Q25" i="1"/>
  <c r="R25" i="1" s="1"/>
  <c r="S25" i="1"/>
  <c r="T25" i="1" s="1"/>
  <c r="Q236" i="1"/>
  <c r="R236" i="1" s="1"/>
  <c r="Q189" i="1"/>
  <c r="R189" i="1" s="1"/>
  <c r="Q127" i="1"/>
  <c r="R127" i="1" s="1"/>
  <c r="S269" i="1"/>
  <c r="T269" i="1" s="1"/>
  <c r="S194" i="1"/>
  <c r="T194" i="1" s="1"/>
  <c r="S118" i="1"/>
  <c r="T118" i="1" s="1"/>
  <c r="S59" i="1"/>
  <c r="T59" i="1" s="1"/>
  <c r="S260" i="1"/>
  <c r="T260" i="1" s="1"/>
  <c r="Q260" i="1"/>
  <c r="R260" i="1" s="1"/>
  <c r="S8" i="1"/>
  <c r="T8" i="1" s="1"/>
  <c r="Q8" i="1"/>
  <c r="R8" i="1" s="1"/>
  <c r="S199" i="1"/>
  <c r="T199" i="1" s="1"/>
  <c r="Q199" i="1"/>
  <c r="R199" i="1" s="1"/>
  <c r="S278" i="1"/>
  <c r="T278" i="1" s="1"/>
  <c r="Q278" i="1"/>
  <c r="R278" i="1" s="1"/>
  <c r="S2" i="1"/>
  <c r="T2" i="1" s="1"/>
  <c r="Q2" i="1"/>
  <c r="R2" i="1" s="1"/>
  <c r="Q179" i="1"/>
  <c r="R179" i="1" s="1"/>
  <c r="S179" i="1"/>
  <c r="T179" i="1" s="1"/>
  <c r="Q292" i="1"/>
  <c r="R292" i="1" s="1"/>
  <c r="S292" i="1"/>
  <c r="T292" i="1" s="1"/>
  <c r="S226" i="1"/>
  <c r="T226" i="1" s="1"/>
  <c r="Q226" i="1"/>
  <c r="R226" i="1" s="1"/>
  <c r="S148" i="1"/>
  <c r="T148" i="1" s="1"/>
  <c r="Q148" i="1"/>
  <c r="R148" i="1" s="1"/>
  <c r="Q190" i="1"/>
  <c r="R190" i="1" s="1"/>
  <c r="S286" i="1"/>
  <c r="T286" i="1" s="1"/>
  <c r="Q286" i="1"/>
  <c r="R286" i="1" s="1"/>
  <c r="Q274" i="1"/>
  <c r="R274" i="1" s="1"/>
  <c r="S274" i="1"/>
  <c r="T274" i="1" s="1"/>
  <c r="S262" i="1"/>
  <c r="T262" i="1" s="1"/>
  <c r="Q262" i="1"/>
  <c r="R262" i="1" s="1"/>
  <c r="S178" i="1"/>
  <c r="T178" i="1" s="1"/>
  <c r="Q178" i="1"/>
  <c r="R178" i="1" s="1"/>
  <c r="Q166" i="1"/>
  <c r="R166" i="1" s="1"/>
  <c r="S166" i="1"/>
  <c r="T166" i="1" s="1"/>
  <c r="S154" i="1"/>
  <c r="T154" i="1" s="1"/>
  <c r="Q154" i="1"/>
  <c r="R154" i="1" s="1"/>
  <c r="Q130" i="1"/>
  <c r="R130" i="1" s="1"/>
  <c r="S130" i="1"/>
  <c r="T130" i="1" s="1"/>
  <c r="S106" i="1"/>
  <c r="T106" i="1" s="1"/>
  <c r="Q106" i="1"/>
  <c r="R106" i="1" s="1"/>
  <c r="Q82" i="1"/>
  <c r="R82" i="1" s="1"/>
  <c r="S82" i="1"/>
  <c r="T82" i="1" s="1"/>
  <c r="S58" i="1"/>
  <c r="T58" i="1" s="1"/>
  <c r="Q58" i="1"/>
  <c r="R58" i="1" s="1"/>
  <c r="Q46" i="1"/>
  <c r="R46" i="1" s="1"/>
  <c r="S46" i="1"/>
  <c r="T46" i="1" s="1"/>
  <c r="S34" i="1"/>
  <c r="T34" i="1" s="1"/>
  <c r="Q34" i="1"/>
  <c r="R34" i="1" s="1"/>
  <c r="Q297" i="1"/>
  <c r="R297" i="1" s="1"/>
  <c r="S297" i="1"/>
  <c r="T297" i="1" s="1"/>
  <c r="S285" i="1"/>
  <c r="T285" i="1" s="1"/>
  <c r="Q285" i="1"/>
  <c r="R285" i="1" s="1"/>
  <c r="Q261" i="1"/>
  <c r="R261" i="1" s="1"/>
  <c r="S261" i="1"/>
  <c r="T261" i="1" s="1"/>
  <c r="Q249" i="1"/>
  <c r="R249" i="1" s="1"/>
  <c r="S249" i="1"/>
  <c r="T249" i="1" s="1"/>
  <c r="Q237" i="1"/>
  <c r="R237" i="1" s="1"/>
  <c r="S237" i="1"/>
  <c r="T237" i="1" s="1"/>
  <c r="S225" i="1"/>
  <c r="T225" i="1" s="1"/>
  <c r="Q225" i="1"/>
  <c r="R225" i="1" s="1"/>
  <c r="Q165" i="1"/>
  <c r="R165" i="1" s="1"/>
  <c r="S165" i="1"/>
  <c r="T165" i="1" s="1"/>
  <c r="S129" i="1"/>
  <c r="T129" i="1" s="1"/>
  <c r="Q129" i="1"/>
  <c r="R129" i="1" s="1"/>
  <c r="S105" i="1"/>
  <c r="T105" i="1" s="1"/>
  <c r="Q105" i="1"/>
  <c r="R105" i="1" s="1"/>
  <c r="Q45" i="1"/>
  <c r="R45" i="1" s="1"/>
  <c r="S45" i="1"/>
  <c r="T45" i="1" s="1"/>
  <c r="Q33" i="1"/>
  <c r="R33" i="1" s="1"/>
  <c r="S33" i="1"/>
  <c r="T33" i="1" s="1"/>
  <c r="S21" i="1"/>
  <c r="T21" i="1" s="1"/>
  <c r="Q21" i="1"/>
  <c r="R21" i="1" s="1"/>
  <c r="S9" i="1"/>
  <c r="T9" i="1" s="1"/>
  <c r="Q9" i="1"/>
  <c r="R9" i="1" s="1"/>
  <c r="S282" i="1"/>
  <c r="T282" i="1" s="1"/>
  <c r="Q282" i="1"/>
  <c r="R282" i="1" s="1"/>
  <c r="Q281" i="1"/>
  <c r="R281" i="1" s="1"/>
  <c r="Q126" i="1"/>
  <c r="R126" i="1" s="1"/>
  <c r="Q54" i="1"/>
  <c r="R54" i="1" s="1"/>
  <c r="S117" i="1"/>
  <c r="T117" i="1" s="1"/>
  <c r="S32" i="1"/>
  <c r="T32" i="1" s="1"/>
  <c r="Q32" i="1"/>
  <c r="R32" i="1" s="1"/>
  <c r="Q243" i="1"/>
  <c r="R243" i="1" s="1"/>
  <c r="S243" i="1"/>
  <c r="T243" i="1" s="1"/>
  <c r="Q138" i="1"/>
  <c r="R138" i="1" s="1"/>
  <c r="S138" i="1"/>
  <c r="T138" i="1" s="1"/>
  <c r="Q109" i="1"/>
  <c r="R109" i="1" s="1"/>
  <c r="S109" i="1"/>
  <c r="T109" i="1" s="1"/>
  <c r="S44" i="1"/>
  <c r="T44" i="1" s="1"/>
  <c r="S283" i="1"/>
  <c r="T283" i="1" s="1"/>
  <c r="Q283" i="1"/>
  <c r="R283" i="1" s="1"/>
  <c r="S91" i="1"/>
  <c r="T91" i="1" s="1"/>
  <c r="Q91" i="1"/>
  <c r="R91" i="1" s="1"/>
  <c r="S99" i="1"/>
  <c r="T99" i="1" s="1"/>
  <c r="Q99" i="1"/>
  <c r="R99" i="1" s="1"/>
  <c r="Q279" i="1"/>
  <c r="R279" i="1" s="1"/>
  <c r="Q223" i="1"/>
  <c r="R223" i="1" s="1"/>
  <c r="S98" i="1"/>
  <c r="T98" i="1" s="1"/>
  <c r="S212" i="1"/>
  <c r="T212" i="1" s="1"/>
  <c r="Q212" i="1"/>
  <c r="R212" i="1" s="1"/>
  <c r="S235" i="1"/>
  <c r="T235" i="1" s="1"/>
  <c r="Q235" i="1"/>
  <c r="R235" i="1" s="1"/>
  <c r="S19" i="1"/>
  <c r="T19" i="1" s="1"/>
  <c r="Q19" i="1"/>
  <c r="R19" i="1" s="1"/>
  <c r="S270" i="1"/>
  <c r="T270" i="1" s="1"/>
  <c r="Q270" i="1"/>
  <c r="R270" i="1" s="1"/>
  <c r="S248" i="1"/>
  <c r="T248" i="1" s="1"/>
  <c r="Q248" i="1"/>
  <c r="R248" i="1" s="1"/>
  <c r="S31" i="1"/>
  <c r="T31" i="1" s="1"/>
  <c r="Q31" i="1"/>
  <c r="R31" i="1" s="1"/>
  <c r="S186" i="1"/>
  <c r="T186" i="1" s="1"/>
  <c r="Q186" i="1"/>
  <c r="R186" i="1" s="1"/>
  <c r="Q102" i="1"/>
  <c r="R102" i="1" s="1"/>
  <c r="S102" i="1"/>
  <c r="T102" i="1" s="1"/>
  <c r="Q66" i="1"/>
  <c r="R66" i="1" s="1"/>
  <c r="S66" i="1"/>
  <c r="T66" i="1" s="1"/>
  <c r="Q30" i="1"/>
  <c r="R30" i="1" s="1"/>
  <c r="S30" i="1"/>
  <c r="T30" i="1" s="1"/>
  <c r="S241" i="1"/>
  <c r="T241" i="1" s="1"/>
  <c r="Q241" i="1"/>
  <c r="R241" i="1" s="1"/>
  <c r="S162" i="1"/>
  <c r="T162" i="1" s="1"/>
  <c r="Q162" i="1"/>
  <c r="R162" i="1" s="1"/>
  <c r="S257" i="1"/>
  <c r="T257" i="1" s="1"/>
  <c r="Q257" i="1"/>
  <c r="R257" i="1" s="1"/>
  <c r="Q69" i="1"/>
  <c r="R69" i="1" s="1"/>
  <c r="S69" i="1"/>
  <c r="T69" i="1" s="1"/>
  <c r="Q36" i="1"/>
  <c r="R36" i="1" s="1"/>
  <c r="S36" i="1"/>
  <c r="T36" i="1" s="1"/>
  <c r="Q131" i="1"/>
  <c r="R131" i="1" s="1"/>
  <c r="S275" i="1"/>
  <c r="T275" i="1" s="1"/>
  <c r="S84" i="1"/>
  <c r="T84" i="1" s="1"/>
  <c r="S5" i="1"/>
  <c r="T5" i="1" s="1"/>
  <c r="Q240" i="1"/>
  <c r="R240" i="1" s="1"/>
  <c r="Q147" i="1"/>
  <c r="R147" i="1" s="1"/>
  <c r="S216" i="1"/>
  <c r="T216" i="1" s="1"/>
  <c r="S159" i="1"/>
  <c r="T159" i="1" s="1"/>
  <c r="S287" i="1"/>
  <c r="T287" i="1" s="1"/>
  <c r="S209" i="1"/>
  <c r="T209" i="1" s="1"/>
  <c r="Q171" i="1"/>
  <c r="R171" i="1" s="1"/>
  <c r="S132" i="1"/>
  <c r="T132" i="1" s="1"/>
  <c r="Q168" i="1"/>
  <c r="R168" i="1" s="1"/>
  <c r="Q49" i="1"/>
  <c r="R49" i="1" s="1"/>
  <c r="S72" i="1"/>
  <c r="T72" i="1" s="1"/>
  <c r="S183" i="1"/>
  <c r="T183" i="1" s="1"/>
  <c r="Q183" i="1"/>
  <c r="R183" i="1" s="1"/>
  <c r="S143" i="1"/>
  <c r="T143" i="1" s="1"/>
  <c r="Q143" i="1"/>
  <c r="R143" i="1" s="1"/>
  <c r="S222" i="1"/>
  <c r="T222" i="1" s="1"/>
  <c r="S108" i="1"/>
  <c r="T108" i="1" s="1"/>
  <c r="S12" i="1"/>
  <c r="T12" i="1" s="1"/>
  <c r="Q90" i="1"/>
  <c r="R90" i="1" s="1"/>
  <c r="S90" i="1"/>
  <c r="T90" i="1" s="1"/>
  <c r="Q47" i="1"/>
  <c r="R47" i="1" s="1"/>
  <c r="S47" i="1"/>
  <c r="T47" i="1" s="1"/>
  <c r="Q228" i="1"/>
  <c r="R228" i="1" s="1"/>
  <c r="Q197" i="1"/>
  <c r="R197" i="1" s="1"/>
  <c r="Q180" i="1"/>
  <c r="R180" i="1" s="1"/>
  <c r="Q17" i="1"/>
  <c r="R17" i="1" s="1"/>
  <c r="S17" i="1"/>
  <c r="T17" i="1" s="1"/>
  <c r="Q6" i="1"/>
  <c r="R6" i="1" s="1"/>
  <c r="S48" i="1"/>
  <c r="T48" i="1" s="1"/>
  <c r="W11" i="1" l="1"/>
  <c r="W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<sst xmlns="http://schemas.openxmlformats.org/spreadsheetml/2006/main" count="40" uniqueCount="25">
  <si>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</si>
  <si>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</si>
  <si>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</si>
  <si>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</si>
  <si>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</si>
  <si>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</si>
  <si>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</si>
  <si>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</si>
  <si>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</si>
  <si>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</si>
  <si>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</si>
  <si>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</si>
  <si>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</si>
  <si>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</si>
  <si>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Scoring Dataset</t>
  </si>
  <si>
    <t>?</t>
  </si>
  <si>
    <t>m1x1+m2x2+…+b</t>
  </si>
  <si>
    <t>P(1)</t>
  </si>
  <si>
    <t>b</t>
  </si>
  <si>
    <t>Outcome</t>
  </si>
  <si>
    <t>Difference</t>
  </si>
  <si>
    <t>total diff</t>
  </si>
  <si>
    <t>Likehood</t>
  </si>
  <si>
    <t>Ln(Likehood)</t>
  </si>
  <si>
    <t>to_maximize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</si>
</sst>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392429</xdr:colOff>
      <xdr:row>14</xdr:row>
      <xdr:rowOff>121920</xdr:rowOff>
    </xdr:from>
    <xdr:to>
      <xdr:col>38</xdr:col>
      <xdr:colOff>592454</xdr:colOff>
      <xdr:row>49</xdr:row>
      <xdr:rowOff>72390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363949" y="2682240"/>
          <a:ext cx="5686425" cy="63512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 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The dataset is contributed by:</a:t>
          </a:r>
        </a:p>
        <a:p>
          <a:endParaRPr lang="en-US" sz="1100" baseline="0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Hungarian Institute of Cardiology. Budapest: Andras Janosi,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2. University Hospital, Zurich, Switzerland: William Steinbrunn,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3. University Hospital, Basel, Switzerland: Matthias Pfisterer,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4. V.A. Medical Center, Long Beach and Cleveland Clinic Foundation: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	  Robert Detrano, M.D., Ph.D.</a:t>
          </a:r>
        </a:p>
        <a:p>
          <a:endParaRPr lang="en-US" sz="1100"/>
        </a:p>
        <a:p>
          <a:r>
            <a:rPr lang="en-US" sz="1100"/>
            <a:t>Reference:</a:t>
          </a:r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/>
            <a:t>Janosi,Andras, Steinbrunn,William, Pfisterer,Matthias, and Detrano,Robert. (1988). Heart Disease. UCI Machine Learning Repository. https://doi.org/10.24432/C52P4X.</a:t>
          </a:r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2"/>
  <sheetViews>
    <sheetView tabSelected="1" workbookViewId="0">
      <selection activeCell="R307" sqref="R306:R307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4" width="6.5546875" customWidth="1"/>
    <col min="15" max="15" width="18.109375" customWidth="1"/>
    <col min="18" max="18" width="10.5546875" customWidth="1"/>
    <col min="20" max="20" width="11.6640625" customWidth="1"/>
    <col min="22" max="22" width="11.554687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16</v>
      </c>
      <c r="P1" t="s">
        <v>17</v>
      </c>
      <c r="Q1" t="s">
        <v>19</v>
      </c>
      <c r="R1" t="s">
        <v>20</v>
      </c>
      <c r="S1" t="s">
        <v>22</v>
      </c>
      <c r="T1" t="s">
        <v>23</v>
      </c>
    </row>
    <row r="2" spans="1:36" x14ac:dyDescent="0.3">
      <c r="A2">
        <v>63</v>
      </c>
      <c r="B2">
        <v>1</v>
      </c>
      <c r="C2">
        <v>1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>
        <v>0</v>
      </c>
      <c r="M2">
        <v>6</v>
      </c>
      <c r="N2">
        <v>0</v>
      </c>
      <c r="O2">
        <f>SUMPRODUCT(A2:M2,W$6:AI$6)+AJ6</f>
        <v>-6.2271577137914411</v>
      </c>
      <c r="P2">
        <f>1/(1+EXP(-O2))</f>
        <v>1.9711644420217604E-3</v>
      </c>
      <c r="Q2">
        <f>IF(P2&gt;0.5,1,0)</f>
        <v>0</v>
      </c>
      <c r="R2">
        <f>IF(N2=Q2,0,1)</f>
        <v>0</v>
      </c>
      <c r="S2">
        <f>IF(N2=1,P2,1-P2)</f>
        <v>0.99802883555797828</v>
      </c>
      <c r="T2">
        <f>LN(S2)</f>
        <v>-1.9731097434101071E-3</v>
      </c>
    </row>
    <row r="3" spans="1:36" x14ac:dyDescent="0.3">
      <c r="A3">
        <v>67</v>
      </c>
      <c r="B3">
        <v>1</v>
      </c>
      <c r="C3">
        <v>4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2</v>
      </c>
      <c r="L3">
        <v>3</v>
      </c>
      <c r="M3">
        <v>3</v>
      </c>
      <c r="N3">
        <v>1</v>
      </c>
      <c r="O3">
        <f t="shared" ref="O3:O66" si="0">SUMPRODUCT(A3:M3,W$6:AI$6)+AJ7</f>
        <v>5.3010417421734752</v>
      </c>
      <c r="P3">
        <f t="shared" ref="P3:P66" si="1">1/(1+EXP(-O3))</f>
        <v>0.99503834412370273</v>
      </c>
      <c r="Q3">
        <f t="shared" ref="Q3:Q66" si="2">IF(P3&gt;0.5,1,0)</f>
        <v>1</v>
      </c>
      <c r="R3">
        <f t="shared" ref="R3:R66" si="3">IF(N3=Q3,0,1)</f>
        <v>0</v>
      </c>
      <c r="S3">
        <f t="shared" ref="S3:S66" si="4">IF(N3=1,P3,1-P3)</f>
        <v>0.99503834412370273</v>
      </c>
      <c r="T3">
        <f t="shared" ref="T3:T66" si="5">LN(S3)</f>
        <v>-4.9740057583265405E-3</v>
      </c>
    </row>
    <row r="4" spans="1:36" x14ac:dyDescent="0.3">
      <c r="A4">
        <v>67</v>
      </c>
      <c r="B4">
        <v>1</v>
      </c>
      <c r="C4">
        <v>4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>
        <v>2</v>
      </c>
      <c r="M4">
        <v>7</v>
      </c>
      <c r="N4">
        <v>1</v>
      </c>
      <c r="O4">
        <f t="shared" si="0"/>
        <v>4.5846590640289131</v>
      </c>
      <c r="P4">
        <f t="shared" si="1"/>
        <v>0.98989590560126162</v>
      </c>
      <c r="Q4">
        <f t="shared" si="2"/>
        <v>1</v>
      </c>
      <c r="R4">
        <f t="shared" si="3"/>
        <v>0</v>
      </c>
      <c r="S4">
        <f t="shared" si="4"/>
        <v>0.98989590560126162</v>
      </c>
      <c r="T4">
        <f t="shared" si="5"/>
        <v>-1.0155487239026111E-2</v>
      </c>
      <c r="W4">
        <v>13</v>
      </c>
      <c r="X4">
        <v>12</v>
      </c>
      <c r="Y4">
        <v>11</v>
      </c>
      <c r="Z4">
        <v>10</v>
      </c>
      <c r="AA4">
        <v>9</v>
      </c>
      <c r="AB4">
        <v>8</v>
      </c>
      <c r="AC4">
        <v>7</v>
      </c>
      <c r="AD4">
        <v>6</v>
      </c>
      <c r="AE4">
        <v>5</v>
      </c>
      <c r="AF4">
        <v>4</v>
      </c>
      <c r="AG4">
        <v>3</v>
      </c>
      <c r="AH4">
        <v>2</v>
      </c>
      <c r="AI4">
        <v>1</v>
      </c>
      <c r="AJ4">
        <v>14</v>
      </c>
    </row>
    <row r="5" spans="1:36" x14ac:dyDescent="0.3">
      <c r="A5">
        <v>37</v>
      </c>
      <c r="B5">
        <v>1</v>
      </c>
      <c r="C5">
        <v>3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>
        <v>0</v>
      </c>
      <c r="M5">
        <v>3</v>
      </c>
      <c r="N5">
        <v>0</v>
      </c>
      <c r="O5">
        <f t="shared" si="0"/>
        <v>-1.227211780397214</v>
      </c>
      <c r="P5">
        <f t="shared" si="1"/>
        <v>0.22666980191536101</v>
      </c>
      <c r="Q5">
        <f t="shared" si="2"/>
        <v>0</v>
      </c>
      <c r="R5">
        <f t="shared" si="3"/>
        <v>0</v>
      </c>
      <c r="S5">
        <f t="shared" si="4"/>
        <v>0.77333019808463899</v>
      </c>
      <c r="T5">
        <f t="shared" si="5"/>
        <v>-0.25704915719900728</v>
      </c>
      <c r="W5" t="s">
        <v>0</v>
      </c>
      <c r="X5" t="s">
        <v>1</v>
      </c>
      <c r="Y5" t="s">
        <v>2</v>
      </c>
      <c r="Z5" t="s">
        <v>3</v>
      </c>
      <c r="AA5" t="s">
        <v>4</v>
      </c>
      <c r="AB5" t="s">
        <v>5</v>
      </c>
      <c r="AC5" t="s">
        <v>6</v>
      </c>
      <c r="AD5" t="s">
        <v>7</v>
      </c>
      <c r="AE5" t="s">
        <v>8</v>
      </c>
      <c r="AF5" t="s">
        <v>9</v>
      </c>
      <c r="AG5" t="s">
        <v>10</v>
      </c>
      <c r="AH5" t="s">
        <v>11</v>
      </c>
      <c r="AI5" t="s">
        <v>12</v>
      </c>
      <c r="AJ5" t="s">
        <v>18</v>
      </c>
    </row>
    <row r="6" spans="1:36" x14ac:dyDescent="0.3">
      <c r="A6">
        <v>41</v>
      </c>
      <c r="B6">
        <v>0</v>
      </c>
      <c r="C6">
        <v>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>
        <v>0</v>
      </c>
      <c r="M6">
        <v>3</v>
      </c>
      <c r="N6">
        <v>0</v>
      </c>
      <c r="O6">
        <f t="shared" si="0"/>
        <v>-2.8842871353388677</v>
      </c>
      <c r="P6">
        <f t="shared" si="1"/>
        <v>5.2935794486535702E-2</v>
      </c>
      <c r="Q6">
        <f t="shared" si="2"/>
        <v>0</v>
      </c>
      <c r="R6">
        <f t="shared" si="3"/>
        <v>0</v>
      </c>
      <c r="S6">
        <f t="shared" si="4"/>
        <v>0.94706420551346426</v>
      </c>
      <c r="T6">
        <f t="shared" si="5"/>
        <v>-5.4388389241642167E-2</v>
      </c>
      <c r="W6">
        <v>-4.4698055728417493E-2</v>
      </c>
      <c r="X6">
        <v>0.95877245700852176</v>
      </c>
      <c r="Y6">
        <v>0.38083434114758186</v>
      </c>
      <c r="Z6">
        <v>1.503002357881492E-2</v>
      </c>
      <c r="AA6">
        <v>2.5599854790007179E-3</v>
      </c>
      <c r="AB6">
        <v>-0.75347120929515443</v>
      </c>
      <c r="AC6">
        <v>0.28038560778347488</v>
      </c>
      <c r="AD6">
        <v>-3.8224237797495786E-2</v>
      </c>
      <c r="AE6">
        <v>0.82816965375930329</v>
      </c>
      <c r="AF6">
        <v>0.2686982536293458</v>
      </c>
      <c r="AG6">
        <v>0.29539272587280352</v>
      </c>
      <c r="AH6">
        <v>1.251821786656595</v>
      </c>
      <c r="AI6">
        <v>0.35091725630581261</v>
      </c>
      <c r="AJ6">
        <v>-5.2099690720407823</v>
      </c>
    </row>
    <row r="7" spans="1:36" x14ac:dyDescent="0.3">
      <c r="A7">
        <v>56</v>
      </c>
      <c r="B7">
        <v>1</v>
      </c>
      <c r="C7">
        <v>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>
        <v>0</v>
      </c>
      <c r="M7">
        <v>3</v>
      </c>
      <c r="N7">
        <v>0</v>
      </c>
      <c r="O7">
        <f t="shared" si="0"/>
        <v>-3.6157018092462661</v>
      </c>
      <c r="P7">
        <f t="shared" si="1"/>
        <v>2.6193487781391092E-2</v>
      </c>
      <c r="Q7">
        <f t="shared" si="2"/>
        <v>0</v>
      </c>
      <c r="R7">
        <f t="shared" si="3"/>
        <v>0</v>
      </c>
      <c r="S7">
        <f t="shared" si="4"/>
        <v>0.97380651221860892</v>
      </c>
      <c r="T7">
        <f t="shared" si="5"/>
        <v>-2.6542647826641865E-2</v>
      </c>
      <c r="W7">
        <f>INDEX(LINEST($N$2:$N$298,$A$2:$M$298),1,W$4)</f>
        <v>-1.2282046886227082E-3</v>
      </c>
      <c r="X7">
        <f t="shared" ref="X6:AI7" si="6">INDEX(LINEST($N$2:$N$298,$A$2:$M$298),1,X$4)</f>
        <v>0.14569183178559117</v>
      </c>
      <c r="Y7">
        <f t="shared" si="6"/>
        <v>8.2763232670012954E-2</v>
      </c>
      <c r="Z7">
        <f t="shared" si="6"/>
        <v>2.1361741326654002E-3</v>
      </c>
      <c r="AA7">
        <f t="shared" si="6"/>
        <v>3.5489886662413598E-4</v>
      </c>
      <c r="AB7">
        <f t="shared" si="6"/>
        <v>-9.8238291337493358E-2</v>
      </c>
      <c r="AC7">
        <f t="shared" si="6"/>
        <v>3.2657706415573695E-2</v>
      </c>
      <c r="AD7">
        <f t="shared" si="6"/>
        <v>-2.6261953083474886E-3</v>
      </c>
      <c r="AE7">
        <f t="shared" si="6"/>
        <v>0.13475306416630087</v>
      </c>
      <c r="AF7">
        <f t="shared" si="6"/>
        <v>3.2428048493887404E-2</v>
      </c>
      <c r="AG7">
        <f t="shared" si="6"/>
        <v>6.1034589201354329E-2</v>
      </c>
      <c r="AH7">
        <f t="shared" si="6"/>
        <v>0.14319872425029184</v>
      </c>
      <c r="AI7">
        <f t="shared" si="6"/>
        <v>6.062366153011442E-2</v>
      </c>
      <c r="AJ7">
        <f>INDEX(LINEST($N$2:$N$298,$A$2:$M$298),1,AJ$4)</f>
        <v>-0.38603111349955122</v>
      </c>
    </row>
    <row r="8" spans="1:36" x14ac:dyDescent="0.3">
      <c r="A8">
        <v>62</v>
      </c>
      <c r="B8">
        <v>0</v>
      </c>
      <c r="C8">
        <v>4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>
        <v>2</v>
      </c>
      <c r="M8">
        <v>3</v>
      </c>
      <c r="N8">
        <v>1</v>
      </c>
      <c r="O8">
        <f t="shared" si="0"/>
        <v>1.3971177197170315</v>
      </c>
      <c r="P8">
        <f t="shared" si="1"/>
        <v>0.80172611581394548</v>
      </c>
      <c r="Q8">
        <f t="shared" si="2"/>
        <v>1</v>
      </c>
      <c r="R8">
        <f t="shared" si="3"/>
        <v>0</v>
      </c>
      <c r="S8">
        <f t="shared" si="4"/>
        <v>0.80172611581394548</v>
      </c>
      <c r="T8">
        <f t="shared" si="5"/>
        <v>-0.22098823091940265</v>
      </c>
    </row>
    <row r="9" spans="1:36" x14ac:dyDescent="0.3">
      <c r="A9">
        <v>57</v>
      </c>
      <c r="B9">
        <v>0</v>
      </c>
      <c r="C9">
        <v>4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>
        <v>0</v>
      </c>
      <c r="M9">
        <v>3</v>
      </c>
      <c r="N9">
        <v>0</v>
      </c>
      <c r="O9">
        <f t="shared" si="0"/>
        <v>-2.2076317831700853</v>
      </c>
      <c r="P9">
        <f t="shared" si="1"/>
        <v>9.9067242852094742E-2</v>
      </c>
      <c r="Q9">
        <f t="shared" si="2"/>
        <v>0</v>
      </c>
      <c r="R9">
        <f t="shared" si="3"/>
        <v>0</v>
      </c>
      <c r="S9">
        <f t="shared" si="4"/>
        <v>0.90093275714790522</v>
      </c>
      <c r="T9">
        <f t="shared" si="5"/>
        <v>-0.10432465551523339</v>
      </c>
    </row>
    <row r="10" spans="1:36" x14ac:dyDescent="0.3">
      <c r="A10">
        <v>63</v>
      </c>
      <c r="B10">
        <v>1</v>
      </c>
      <c r="C10">
        <v>4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>
        <v>1</v>
      </c>
      <c r="M10">
        <v>7</v>
      </c>
      <c r="N10">
        <v>1</v>
      </c>
      <c r="O10">
        <f t="shared" si="0"/>
        <v>1.8872855345797133</v>
      </c>
      <c r="P10">
        <f t="shared" si="1"/>
        <v>0.86844571903200019</v>
      </c>
      <c r="Q10">
        <f t="shared" si="2"/>
        <v>1</v>
      </c>
      <c r="R10">
        <f t="shared" si="3"/>
        <v>0</v>
      </c>
      <c r="S10">
        <f t="shared" si="4"/>
        <v>0.86844571903200019</v>
      </c>
      <c r="T10">
        <f t="shared" si="5"/>
        <v>-0.14105019492946555</v>
      </c>
    </row>
    <row r="11" spans="1:36" x14ac:dyDescent="0.3">
      <c r="A11">
        <v>53</v>
      </c>
      <c r="B11">
        <v>1</v>
      </c>
      <c r="C11">
        <v>4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>
        <v>0</v>
      </c>
      <c r="M11">
        <v>7</v>
      </c>
      <c r="N11">
        <v>1</v>
      </c>
      <c r="O11">
        <f t="shared" si="0"/>
        <v>1.6232695806932802</v>
      </c>
      <c r="P11">
        <f t="shared" si="1"/>
        <v>0.83524555149400637</v>
      </c>
      <c r="Q11">
        <f t="shared" si="2"/>
        <v>1</v>
      </c>
      <c r="R11">
        <f t="shared" si="3"/>
        <v>0</v>
      </c>
      <c r="S11">
        <f t="shared" si="4"/>
        <v>0.83524555149400637</v>
      </c>
      <c r="T11">
        <f t="shared" si="5"/>
        <v>-0.18002952371694422</v>
      </c>
      <c r="V11" t="s">
        <v>21</v>
      </c>
      <c r="W11">
        <f>SUM(R2:R298)</f>
        <v>42</v>
      </c>
    </row>
    <row r="12" spans="1:36" x14ac:dyDescent="0.3">
      <c r="A12">
        <v>57</v>
      </c>
      <c r="B12">
        <v>1</v>
      </c>
      <c r="C12">
        <v>4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>
        <v>0</v>
      </c>
      <c r="M12">
        <v>6</v>
      </c>
      <c r="N12">
        <v>0</v>
      </c>
      <c r="O12">
        <f t="shared" si="0"/>
        <v>-0.32337774491587634</v>
      </c>
      <c r="P12">
        <f t="shared" si="1"/>
        <v>0.41985278681574673</v>
      </c>
      <c r="Q12">
        <f t="shared" si="2"/>
        <v>0</v>
      </c>
      <c r="R12">
        <f t="shared" si="3"/>
        <v>0</v>
      </c>
      <c r="S12">
        <f t="shared" si="4"/>
        <v>0.58014721318425333</v>
      </c>
      <c r="T12">
        <f t="shared" si="5"/>
        <v>-0.54447339181254206</v>
      </c>
      <c r="V12" t="s">
        <v>24</v>
      </c>
      <c r="W12">
        <f>SUM(T2:T298)</f>
        <v>-105.51750362937237</v>
      </c>
    </row>
    <row r="13" spans="1:36" x14ac:dyDescent="0.3">
      <c r="A13">
        <v>56</v>
      </c>
      <c r="B13">
        <v>0</v>
      </c>
      <c r="C13">
        <v>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>
        <v>0</v>
      </c>
      <c r="M13">
        <v>3</v>
      </c>
      <c r="N13">
        <v>0</v>
      </c>
      <c r="O13">
        <f t="shared" si="0"/>
        <v>-2.1792756237046267</v>
      </c>
      <c r="P13">
        <f t="shared" si="1"/>
        <v>0.10162704363803664</v>
      </c>
      <c r="Q13">
        <f t="shared" si="2"/>
        <v>0</v>
      </c>
      <c r="R13">
        <f t="shared" si="3"/>
        <v>0</v>
      </c>
      <c r="S13">
        <f t="shared" si="4"/>
        <v>0.89837295636196335</v>
      </c>
      <c r="T13">
        <f t="shared" si="5"/>
        <v>-0.10716997801235446</v>
      </c>
    </row>
    <row r="14" spans="1:36" x14ac:dyDescent="0.3">
      <c r="A14">
        <v>56</v>
      </c>
      <c r="B14">
        <v>1</v>
      </c>
      <c r="C14">
        <v>3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>
        <v>1</v>
      </c>
      <c r="M14">
        <v>6</v>
      </c>
      <c r="N14">
        <v>1</v>
      </c>
      <c r="O14">
        <f t="shared" si="0"/>
        <v>1.5244013287313938</v>
      </c>
      <c r="P14">
        <f t="shared" si="1"/>
        <v>0.82118568450097629</v>
      </c>
      <c r="Q14">
        <f t="shared" si="2"/>
        <v>1</v>
      </c>
      <c r="R14">
        <f t="shared" si="3"/>
        <v>0</v>
      </c>
      <c r="S14">
        <f t="shared" si="4"/>
        <v>0.82118568450097629</v>
      </c>
      <c r="T14">
        <f t="shared" si="5"/>
        <v>-0.19700602640409262</v>
      </c>
    </row>
    <row r="15" spans="1:36" x14ac:dyDescent="0.3">
      <c r="A15">
        <v>44</v>
      </c>
      <c r="B15">
        <v>1</v>
      </c>
      <c r="C15">
        <v>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>
        <v>0</v>
      </c>
      <c r="M15">
        <v>7</v>
      </c>
      <c r="N15">
        <v>0</v>
      </c>
      <c r="O15">
        <f t="shared" si="0"/>
        <v>-1.6303739212649844</v>
      </c>
      <c r="P15">
        <f t="shared" si="1"/>
        <v>0.16377914419763073</v>
      </c>
      <c r="Q15">
        <f t="shared" si="2"/>
        <v>0</v>
      </c>
      <c r="R15">
        <f t="shared" si="3"/>
        <v>0</v>
      </c>
      <c r="S15">
        <f t="shared" si="4"/>
        <v>0.83622085580236927</v>
      </c>
      <c r="T15">
        <f t="shared" si="5"/>
        <v>-0.17886251920546339</v>
      </c>
    </row>
    <row r="16" spans="1:36" x14ac:dyDescent="0.3">
      <c r="A16">
        <v>52</v>
      </c>
      <c r="B16">
        <v>1</v>
      </c>
      <c r="C16">
        <v>3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>
        <v>0</v>
      </c>
      <c r="M16">
        <v>7</v>
      </c>
      <c r="N16">
        <v>0</v>
      </c>
      <c r="O16">
        <f t="shared" si="0"/>
        <v>-1.1880573372104402</v>
      </c>
      <c r="P16">
        <f t="shared" si="1"/>
        <v>0.23360655949137474</v>
      </c>
      <c r="Q16">
        <f t="shared" si="2"/>
        <v>0</v>
      </c>
      <c r="R16">
        <f t="shared" si="3"/>
        <v>0</v>
      </c>
      <c r="S16">
        <f t="shared" si="4"/>
        <v>0.76639344050862523</v>
      </c>
      <c r="T16">
        <f t="shared" si="5"/>
        <v>-0.26605961119741439</v>
      </c>
    </row>
    <row r="17" spans="1:20" x14ac:dyDescent="0.3">
      <c r="A17">
        <v>57</v>
      </c>
      <c r="B17">
        <v>1</v>
      </c>
      <c r="C17">
        <v>3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>
        <v>0</v>
      </c>
      <c r="M17">
        <v>3</v>
      </c>
      <c r="N17">
        <v>0</v>
      </c>
      <c r="O17">
        <f t="shared" si="0"/>
        <v>-2.6348882749412432</v>
      </c>
      <c r="P17">
        <f t="shared" si="1"/>
        <v>6.6926543627851998E-2</v>
      </c>
      <c r="Q17">
        <f t="shared" si="2"/>
        <v>0</v>
      </c>
      <c r="R17">
        <f t="shared" si="3"/>
        <v>0</v>
      </c>
      <c r="S17">
        <f t="shared" si="4"/>
        <v>0.933073456372148</v>
      </c>
      <c r="T17">
        <f t="shared" si="5"/>
        <v>-6.9271349859724413E-2</v>
      </c>
    </row>
    <row r="18" spans="1:20" x14ac:dyDescent="0.3">
      <c r="A18">
        <v>48</v>
      </c>
      <c r="B18">
        <v>1</v>
      </c>
      <c r="C18">
        <v>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>
        <v>0</v>
      </c>
      <c r="M18">
        <v>7</v>
      </c>
      <c r="N18">
        <v>1</v>
      </c>
      <c r="O18">
        <f t="shared" si="0"/>
        <v>-0.99590099189039583</v>
      </c>
      <c r="P18">
        <f t="shared" si="1"/>
        <v>0.26974809816177708</v>
      </c>
      <c r="Q18">
        <f t="shared" si="2"/>
        <v>0</v>
      </c>
      <c r="R18">
        <f t="shared" si="3"/>
        <v>1</v>
      </c>
      <c r="S18">
        <f t="shared" si="4"/>
        <v>0.26974809816177708</v>
      </c>
      <c r="T18">
        <f t="shared" si="5"/>
        <v>-1.3102667252421405</v>
      </c>
    </row>
    <row r="19" spans="1:20" x14ac:dyDescent="0.3">
      <c r="A19">
        <v>54</v>
      </c>
      <c r="B19">
        <v>1</v>
      </c>
      <c r="C19">
        <v>4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>
        <v>0</v>
      </c>
      <c r="M19">
        <v>3</v>
      </c>
      <c r="N19">
        <v>0</v>
      </c>
      <c r="O19">
        <f t="shared" si="0"/>
        <v>-1.6608410056743041</v>
      </c>
      <c r="P19">
        <f t="shared" si="1"/>
        <v>0.15964913424021013</v>
      </c>
      <c r="Q19">
        <f t="shared" si="2"/>
        <v>0</v>
      </c>
      <c r="R19">
        <f t="shared" si="3"/>
        <v>0</v>
      </c>
      <c r="S19">
        <f t="shared" si="4"/>
        <v>0.8403508657597899</v>
      </c>
      <c r="T19">
        <f t="shared" si="5"/>
        <v>-0.17393577702294113</v>
      </c>
    </row>
    <row r="20" spans="1:20" x14ac:dyDescent="0.3">
      <c r="A20">
        <v>48</v>
      </c>
      <c r="B20">
        <v>0</v>
      </c>
      <c r="C20">
        <v>3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>
        <v>0</v>
      </c>
      <c r="M20">
        <v>3</v>
      </c>
      <c r="N20">
        <v>0</v>
      </c>
      <c r="O20">
        <f t="shared" si="0"/>
        <v>-2.2563894878859605</v>
      </c>
      <c r="P20">
        <f t="shared" si="1"/>
        <v>9.4799743986992618E-2</v>
      </c>
      <c r="Q20">
        <f t="shared" si="2"/>
        <v>0</v>
      </c>
      <c r="R20">
        <f t="shared" si="3"/>
        <v>0</v>
      </c>
      <c r="S20">
        <f t="shared" si="4"/>
        <v>0.90520025601300735</v>
      </c>
      <c r="T20">
        <f t="shared" si="5"/>
        <v>-9.9599082397996516E-2</v>
      </c>
    </row>
    <row r="21" spans="1:20" x14ac:dyDescent="0.3">
      <c r="A21">
        <v>49</v>
      </c>
      <c r="B21">
        <v>1</v>
      </c>
      <c r="C21">
        <v>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>
        <v>0</v>
      </c>
      <c r="M21">
        <v>3</v>
      </c>
      <c r="N21">
        <v>0</v>
      </c>
      <c r="O21">
        <f t="shared" si="0"/>
        <v>-2.8618856051325716</v>
      </c>
      <c r="P21">
        <f t="shared" si="1"/>
        <v>5.4070177070044946E-2</v>
      </c>
      <c r="Q21">
        <f t="shared" si="2"/>
        <v>0</v>
      </c>
      <c r="R21">
        <f t="shared" si="3"/>
        <v>0</v>
      </c>
      <c r="S21">
        <f t="shared" si="4"/>
        <v>0.94592982292995509</v>
      </c>
      <c r="T21">
        <f t="shared" si="5"/>
        <v>-5.5586895631257363E-2</v>
      </c>
    </row>
    <row r="22" spans="1:20" x14ac:dyDescent="0.3">
      <c r="A22">
        <v>64</v>
      </c>
      <c r="B22">
        <v>1</v>
      </c>
      <c r="C22">
        <v>1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>
        <v>0</v>
      </c>
      <c r="M22">
        <v>3</v>
      </c>
      <c r="N22">
        <v>0</v>
      </c>
      <c r="O22">
        <f t="shared" si="0"/>
        <v>-1.315764535041096</v>
      </c>
      <c r="P22">
        <f t="shared" si="1"/>
        <v>0.21152382757011451</v>
      </c>
      <c r="Q22">
        <f t="shared" si="2"/>
        <v>0</v>
      </c>
      <c r="R22">
        <f t="shared" si="3"/>
        <v>0</v>
      </c>
      <c r="S22">
        <f t="shared" si="4"/>
        <v>0.78847617242988544</v>
      </c>
      <c r="T22">
        <f t="shared" si="5"/>
        <v>-0.23765309189438044</v>
      </c>
    </row>
    <row r="23" spans="1:20" x14ac:dyDescent="0.3">
      <c r="A23">
        <v>58</v>
      </c>
      <c r="B23">
        <v>0</v>
      </c>
      <c r="C23">
        <v>1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>
        <v>0</v>
      </c>
      <c r="M23">
        <v>3</v>
      </c>
      <c r="N23">
        <v>0</v>
      </c>
      <c r="O23">
        <f t="shared" si="0"/>
        <v>-4.0008572322241269</v>
      </c>
      <c r="P23">
        <f t="shared" si="1"/>
        <v>1.7971075175746764E-2</v>
      </c>
      <c r="Q23">
        <f t="shared" si="2"/>
        <v>0</v>
      </c>
      <c r="R23">
        <f t="shared" si="3"/>
        <v>0</v>
      </c>
      <c r="S23">
        <f t="shared" si="4"/>
        <v>0.98202892482425319</v>
      </c>
      <c r="T23">
        <f t="shared" si="5"/>
        <v>-1.8134516046947134E-2</v>
      </c>
    </row>
    <row r="24" spans="1:20" x14ac:dyDescent="0.3">
      <c r="A24">
        <v>58</v>
      </c>
      <c r="B24">
        <v>1</v>
      </c>
      <c r="C24">
        <v>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>
        <v>0</v>
      </c>
      <c r="M24">
        <v>3</v>
      </c>
      <c r="N24">
        <v>1</v>
      </c>
      <c r="O24">
        <f t="shared" si="0"/>
        <v>-1.7693201422870435</v>
      </c>
      <c r="P24">
        <f t="shared" si="1"/>
        <v>0.14562689625443245</v>
      </c>
      <c r="Q24">
        <f t="shared" si="2"/>
        <v>0</v>
      </c>
      <c r="R24">
        <f t="shared" si="3"/>
        <v>1</v>
      </c>
      <c r="S24">
        <f t="shared" si="4"/>
        <v>0.14562689625443245</v>
      </c>
      <c r="T24">
        <f t="shared" si="5"/>
        <v>-1.926707433257286</v>
      </c>
    </row>
    <row r="25" spans="1:20" x14ac:dyDescent="0.3">
      <c r="A25">
        <v>58</v>
      </c>
      <c r="B25">
        <v>1</v>
      </c>
      <c r="C25">
        <v>3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>
        <v>2</v>
      </c>
      <c r="M25">
        <v>7</v>
      </c>
      <c r="N25">
        <v>1</v>
      </c>
      <c r="O25">
        <f t="shared" si="0"/>
        <v>2.1294576894435502</v>
      </c>
      <c r="P25">
        <f t="shared" si="1"/>
        <v>0.89373351396206924</v>
      </c>
      <c r="Q25">
        <f t="shared" si="2"/>
        <v>1</v>
      </c>
      <c r="R25">
        <f t="shared" si="3"/>
        <v>0</v>
      </c>
      <c r="S25">
        <f t="shared" si="4"/>
        <v>0.89373351396206924</v>
      </c>
      <c r="T25">
        <f t="shared" si="5"/>
        <v>-0.11234763106061355</v>
      </c>
    </row>
    <row r="26" spans="1:20" x14ac:dyDescent="0.3">
      <c r="A26">
        <v>60</v>
      </c>
      <c r="B26">
        <v>1</v>
      </c>
      <c r="C26">
        <v>4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>
        <v>2</v>
      </c>
      <c r="M26">
        <v>7</v>
      </c>
      <c r="N26">
        <v>1</v>
      </c>
      <c r="O26">
        <f t="shared" si="0"/>
        <v>4.8205536597806127</v>
      </c>
      <c r="P26">
        <f t="shared" si="1"/>
        <v>0.9920021590503314</v>
      </c>
      <c r="Q26">
        <f t="shared" si="2"/>
        <v>1</v>
      </c>
      <c r="R26">
        <f t="shared" si="3"/>
        <v>0</v>
      </c>
      <c r="S26">
        <f t="shared" si="4"/>
        <v>0.9920021590503314</v>
      </c>
      <c r="T26">
        <f t="shared" si="5"/>
        <v>-8.0299952376051281E-3</v>
      </c>
    </row>
    <row r="27" spans="1:20" x14ac:dyDescent="0.3">
      <c r="A27">
        <v>50</v>
      </c>
      <c r="B27">
        <v>0</v>
      </c>
      <c r="C27">
        <v>3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>
        <v>0</v>
      </c>
      <c r="M27">
        <v>3</v>
      </c>
      <c r="N27">
        <v>0</v>
      </c>
      <c r="O27">
        <f t="shared" si="0"/>
        <v>-2.694135259153517</v>
      </c>
      <c r="P27">
        <f t="shared" si="1"/>
        <v>6.3320309261920379E-2</v>
      </c>
      <c r="Q27">
        <f t="shared" si="2"/>
        <v>0</v>
      </c>
      <c r="R27">
        <f t="shared" si="3"/>
        <v>0</v>
      </c>
      <c r="S27">
        <f t="shared" si="4"/>
        <v>0.93667969073807966</v>
      </c>
      <c r="T27">
        <f t="shared" si="5"/>
        <v>-6.5413900716548623E-2</v>
      </c>
    </row>
    <row r="28" spans="1:20" x14ac:dyDescent="0.3">
      <c r="A28">
        <v>58</v>
      </c>
      <c r="B28">
        <v>0</v>
      </c>
      <c r="C28">
        <v>3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>
        <v>0</v>
      </c>
      <c r="M28">
        <v>3</v>
      </c>
      <c r="N28">
        <v>0</v>
      </c>
      <c r="O28">
        <f t="shared" si="0"/>
        <v>-4.0024107228664692</v>
      </c>
      <c r="P28">
        <f t="shared" si="1"/>
        <v>1.794367951338912E-2</v>
      </c>
      <c r="Q28">
        <f t="shared" si="2"/>
        <v>0</v>
      </c>
      <c r="R28">
        <f t="shared" si="3"/>
        <v>0</v>
      </c>
      <c r="S28">
        <f t="shared" si="4"/>
        <v>0.98205632048661085</v>
      </c>
      <c r="T28">
        <f t="shared" si="5"/>
        <v>-1.8106619434593026E-2</v>
      </c>
    </row>
    <row r="29" spans="1:20" x14ac:dyDescent="0.3">
      <c r="A29">
        <v>66</v>
      </c>
      <c r="B29">
        <v>0</v>
      </c>
      <c r="C29">
        <v>1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>
        <v>0</v>
      </c>
      <c r="M29">
        <v>3</v>
      </c>
      <c r="N29">
        <v>0</v>
      </c>
      <c r="O29">
        <f t="shared" si="0"/>
        <v>-1.4561947847939454</v>
      </c>
      <c r="P29">
        <f t="shared" si="1"/>
        <v>0.18905001300112761</v>
      </c>
      <c r="Q29">
        <f t="shared" si="2"/>
        <v>0</v>
      </c>
      <c r="R29">
        <f t="shared" si="3"/>
        <v>0</v>
      </c>
      <c r="S29">
        <f t="shared" si="4"/>
        <v>0.81094998699887233</v>
      </c>
      <c r="T29">
        <f t="shared" si="5"/>
        <v>-0.20954889508041064</v>
      </c>
    </row>
    <row r="30" spans="1:20" x14ac:dyDescent="0.3">
      <c r="A30">
        <v>43</v>
      </c>
      <c r="B30">
        <v>1</v>
      </c>
      <c r="C30">
        <v>4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>
        <v>0</v>
      </c>
      <c r="M30">
        <v>3</v>
      </c>
      <c r="N30">
        <v>0</v>
      </c>
      <c r="O30">
        <f t="shared" si="0"/>
        <v>-1.3382394127252075</v>
      </c>
      <c r="P30">
        <f t="shared" si="1"/>
        <v>0.20779973558841477</v>
      </c>
      <c r="Q30">
        <f t="shared" si="2"/>
        <v>0</v>
      </c>
      <c r="R30">
        <f t="shared" si="3"/>
        <v>0</v>
      </c>
      <c r="S30">
        <f t="shared" si="4"/>
        <v>0.7922002644115852</v>
      </c>
      <c r="T30">
        <f t="shared" si="5"/>
        <v>-0.2329410600256499</v>
      </c>
    </row>
    <row r="31" spans="1:20" x14ac:dyDescent="0.3">
      <c r="A31">
        <v>40</v>
      </c>
      <c r="B31">
        <v>1</v>
      </c>
      <c r="C31">
        <v>4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>
        <v>0</v>
      </c>
      <c r="M31">
        <v>7</v>
      </c>
      <c r="N31">
        <v>1</v>
      </c>
      <c r="O31">
        <f t="shared" si="0"/>
        <v>3.3909882746816304</v>
      </c>
      <c r="P31">
        <f t="shared" si="1"/>
        <v>0.96742170648766113</v>
      </c>
      <c r="Q31">
        <f t="shared" si="2"/>
        <v>1</v>
      </c>
      <c r="R31">
        <f t="shared" si="3"/>
        <v>0</v>
      </c>
      <c r="S31">
        <f t="shared" si="4"/>
        <v>0.96742170648766113</v>
      </c>
      <c r="T31">
        <f t="shared" si="5"/>
        <v>-3.3120780879650688E-2</v>
      </c>
    </row>
    <row r="32" spans="1:20" x14ac:dyDescent="0.3">
      <c r="A32">
        <v>69</v>
      </c>
      <c r="B32">
        <v>0</v>
      </c>
      <c r="C32">
        <v>1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>
        <v>2</v>
      </c>
      <c r="M32">
        <v>3</v>
      </c>
      <c r="N32">
        <v>0</v>
      </c>
      <c r="O32">
        <f t="shared" si="0"/>
        <v>-1.4237066563835752</v>
      </c>
      <c r="P32">
        <f t="shared" si="1"/>
        <v>0.19408115439558851</v>
      </c>
      <c r="Q32">
        <f t="shared" si="2"/>
        <v>0</v>
      </c>
      <c r="R32">
        <f t="shared" si="3"/>
        <v>0</v>
      </c>
      <c r="S32">
        <f t="shared" si="4"/>
        <v>0.80591884560441152</v>
      </c>
      <c r="T32">
        <f t="shared" si="5"/>
        <v>-0.21577222938058691</v>
      </c>
    </row>
    <row r="33" spans="1:20" x14ac:dyDescent="0.3">
      <c r="A33">
        <v>60</v>
      </c>
      <c r="B33">
        <v>1</v>
      </c>
      <c r="C33">
        <v>4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>
        <v>2</v>
      </c>
      <c r="M33">
        <v>7</v>
      </c>
      <c r="N33">
        <v>1</v>
      </c>
      <c r="O33">
        <f t="shared" si="0"/>
        <v>1.7379909420578996</v>
      </c>
      <c r="P33">
        <f t="shared" si="1"/>
        <v>0.85043169794451234</v>
      </c>
      <c r="Q33">
        <f t="shared" si="2"/>
        <v>1</v>
      </c>
      <c r="R33">
        <f t="shared" si="3"/>
        <v>0</v>
      </c>
      <c r="S33">
        <f t="shared" si="4"/>
        <v>0.85043169794451234</v>
      </c>
      <c r="T33">
        <f t="shared" si="5"/>
        <v>-0.16201117849041732</v>
      </c>
    </row>
    <row r="34" spans="1:20" x14ac:dyDescent="0.3">
      <c r="A34">
        <v>64</v>
      </c>
      <c r="B34">
        <v>1</v>
      </c>
      <c r="C34">
        <v>3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>
        <v>0</v>
      </c>
      <c r="M34">
        <v>3</v>
      </c>
      <c r="N34">
        <v>1</v>
      </c>
      <c r="O34">
        <f t="shared" si="0"/>
        <v>-2.4888867268822157</v>
      </c>
      <c r="P34">
        <f t="shared" si="1"/>
        <v>7.6640943349810142E-2</v>
      </c>
      <c r="Q34">
        <f t="shared" si="2"/>
        <v>0</v>
      </c>
      <c r="R34">
        <f t="shared" si="3"/>
        <v>1</v>
      </c>
      <c r="S34">
        <f t="shared" si="4"/>
        <v>7.6640943349810142E-2</v>
      </c>
      <c r="T34">
        <f t="shared" si="5"/>
        <v>-2.5686238365512071</v>
      </c>
    </row>
    <row r="35" spans="1:20" x14ac:dyDescent="0.3">
      <c r="A35">
        <v>59</v>
      </c>
      <c r="B35">
        <v>1</v>
      </c>
      <c r="C35">
        <v>4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>
        <v>0</v>
      </c>
      <c r="M35">
        <v>7</v>
      </c>
      <c r="N35">
        <v>0</v>
      </c>
      <c r="O35">
        <f t="shared" si="0"/>
        <v>-0.49953259384745419</v>
      </c>
      <c r="P35">
        <f t="shared" si="1"/>
        <v>0.37765051726463306</v>
      </c>
      <c r="Q35">
        <f t="shared" si="2"/>
        <v>0</v>
      </c>
      <c r="R35">
        <f t="shared" si="3"/>
        <v>0</v>
      </c>
      <c r="S35">
        <f t="shared" si="4"/>
        <v>0.62234948273536694</v>
      </c>
      <c r="T35">
        <f t="shared" si="5"/>
        <v>-0.47425347468297407</v>
      </c>
    </row>
    <row r="36" spans="1:20" x14ac:dyDescent="0.3">
      <c r="A36">
        <v>44</v>
      </c>
      <c r="B36">
        <v>1</v>
      </c>
      <c r="C36">
        <v>3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>
        <v>0</v>
      </c>
      <c r="M36">
        <v>3</v>
      </c>
      <c r="N36">
        <v>0</v>
      </c>
      <c r="O36">
        <f t="shared" si="0"/>
        <v>-1.8734044054964576</v>
      </c>
      <c r="P36">
        <f t="shared" si="1"/>
        <v>0.13314829566414771</v>
      </c>
      <c r="Q36">
        <f t="shared" si="2"/>
        <v>0</v>
      </c>
      <c r="R36">
        <f t="shared" si="3"/>
        <v>0</v>
      </c>
      <c r="S36">
        <f t="shared" si="4"/>
        <v>0.86685170433585235</v>
      </c>
      <c r="T36">
        <f t="shared" si="5"/>
        <v>-0.14288736142671626</v>
      </c>
    </row>
    <row r="37" spans="1:20" x14ac:dyDescent="0.3">
      <c r="A37">
        <v>42</v>
      </c>
      <c r="B37">
        <v>1</v>
      </c>
      <c r="C37">
        <v>4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f t="shared" si="0"/>
        <v>-2.1682183328704436</v>
      </c>
      <c r="P37">
        <f t="shared" si="1"/>
        <v>0.1026410192534062</v>
      </c>
      <c r="Q37">
        <f t="shared" si="2"/>
        <v>0</v>
      </c>
      <c r="R37">
        <f t="shared" si="3"/>
        <v>0</v>
      </c>
      <c r="S37">
        <f t="shared" si="4"/>
        <v>0.89735898074659382</v>
      </c>
      <c r="T37">
        <f t="shared" si="5"/>
        <v>-0.10829929548138313</v>
      </c>
    </row>
    <row r="38" spans="1:20" x14ac:dyDescent="0.3">
      <c r="A38">
        <v>43</v>
      </c>
      <c r="B38">
        <v>1</v>
      </c>
      <c r="C38">
        <v>4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>
        <v>0</v>
      </c>
      <c r="M38">
        <v>7</v>
      </c>
      <c r="N38">
        <v>1</v>
      </c>
      <c r="O38">
        <f t="shared" si="0"/>
        <v>3.337797898104232</v>
      </c>
      <c r="P38">
        <f t="shared" si="1"/>
        <v>0.96570298182901804</v>
      </c>
      <c r="Q38">
        <f t="shared" si="2"/>
        <v>1</v>
      </c>
      <c r="R38">
        <f t="shared" si="3"/>
        <v>0</v>
      </c>
      <c r="S38">
        <f t="shared" si="4"/>
        <v>0.96570298182901804</v>
      </c>
      <c r="T38">
        <f t="shared" si="5"/>
        <v>-3.4898964275585177E-2</v>
      </c>
    </row>
    <row r="39" spans="1:20" x14ac:dyDescent="0.3">
      <c r="A39">
        <v>57</v>
      </c>
      <c r="B39">
        <v>1</v>
      </c>
      <c r="C39">
        <v>4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>
        <v>1</v>
      </c>
      <c r="M39">
        <v>6</v>
      </c>
      <c r="N39">
        <v>1</v>
      </c>
      <c r="O39">
        <f t="shared" si="0"/>
        <v>4.1125361385268988</v>
      </c>
      <c r="P39">
        <f t="shared" si="1"/>
        <v>0.98389732497922333</v>
      </c>
      <c r="Q39">
        <f t="shared" si="2"/>
        <v>1</v>
      </c>
      <c r="R39">
        <f t="shared" si="3"/>
        <v>0</v>
      </c>
      <c r="S39">
        <f t="shared" si="4"/>
        <v>0.98389732497922333</v>
      </c>
      <c r="T39">
        <f t="shared" si="5"/>
        <v>-1.623373190746279E-2</v>
      </c>
    </row>
    <row r="40" spans="1:20" x14ac:dyDescent="0.3">
      <c r="A40">
        <v>55</v>
      </c>
      <c r="B40">
        <v>1</v>
      </c>
      <c r="C40">
        <v>4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>
        <v>1</v>
      </c>
      <c r="M40">
        <v>7</v>
      </c>
      <c r="N40">
        <v>1</v>
      </c>
      <c r="O40">
        <f t="shared" si="0"/>
        <v>3.3153909444146752</v>
      </c>
      <c r="P40">
        <f t="shared" si="1"/>
        <v>0.96495305298477918</v>
      </c>
      <c r="Q40">
        <f t="shared" si="2"/>
        <v>1</v>
      </c>
      <c r="R40">
        <f t="shared" si="3"/>
        <v>0</v>
      </c>
      <c r="S40">
        <f t="shared" si="4"/>
        <v>0.96495305298477918</v>
      </c>
      <c r="T40">
        <f t="shared" si="5"/>
        <v>-3.5675828583294433E-2</v>
      </c>
    </row>
    <row r="41" spans="1:20" x14ac:dyDescent="0.3">
      <c r="A41">
        <v>61</v>
      </c>
      <c r="B41">
        <v>1</v>
      </c>
      <c r="C41">
        <v>3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>
        <v>0</v>
      </c>
      <c r="M41">
        <v>3</v>
      </c>
      <c r="N41">
        <v>0</v>
      </c>
      <c r="O41">
        <f t="shared" si="0"/>
        <v>-0.99851257026317031</v>
      </c>
      <c r="P41">
        <f t="shared" si="1"/>
        <v>0.26923396829569934</v>
      </c>
      <c r="Q41">
        <f t="shared" si="2"/>
        <v>0</v>
      </c>
      <c r="R41">
        <f t="shared" si="3"/>
        <v>0</v>
      </c>
      <c r="S41">
        <f t="shared" si="4"/>
        <v>0.73076603170430066</v>
      </c>
      <c r="T41">
        <f t="shared" si="5"/>
        <v>-0.31366193653242269</v>
      </c>
    </row>
    <row r="42" spans="1:20" x14ac:dyDescent="0.3">
      <c r="A42">
        <v>65</v>
      </c>
      <c r="B42">
        <v>0</v>
      </c>
      <c r="C42">
        <v>4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>
        <v>3</v>
      </c>
      <c r="M42">
        <v>7</v>
      </c>
      <c r="N42">
        <v>1</v>
      </c>
      <c r="O42">
        <f t="shared" si="0"/>
        <v>4.7230419779784452</v>
      </c>
      <c r="P42">
        <f t="shared" si="1"/>
        <v>0.99119020238330058</v>
      </c>
      <c r="Q42">
        <f t="shared" si="2"/>
        <v>1</v>
      </c>
      <c r="R42">
        <f t="shared" si="3"/>
        <v>0</v>
      </c>
      <c r="S42">
        <f t="shared" si="4"/>
        <v>0.99119020238330058</v>
      </c>
      <c r="T42">
        <f t="shared" si="5"/>
        <v>-8.8488333172472462E-3</v>
      </c>
    </row>
    <row r="43" spans="1:20" x14ac:dyDescent="0.3">
      <c r="A43">
        <v>40</v>
      </c>
      <c r="B43">
        <v>1</v>
      </c>
      <c r="C43">
        <v>1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>
        <v>0</v>
      </c>
      <c r="M43">
        <v>7</v>
      </c>
      <c r="N43">
        <v>0</v>
      </c>
      <c r="O43">
        <f t="shared" si="0"/>
        <v>-0.6824286187257349</v>
      </c>
      <c r="P43">
        <f t="shared" si="1"/>
        <v>0.33571947578759992</v>
      </c>
      <c r="Q43">
        <f t="shared" si="2"/>
        <v>0</v>
      </c>
      <c r="R43">
        <f t="shared" si="3"/>
        <v>0</v>
      </c>
      <c r="S43">
        <f t="shared" si="4"/>
        <v>0.66428052421240014</v>
      </c>
      <c r="T43">
        <f t="shared" si="5"/>
        <v>-0.40905074250016132</v>
      </c>
    </row>
    <row r="44" spans="1:20" x14ac:dyDescent="0.3">
      <c r="A44">
        <v>71</v>
      </c>
      <c r="B44">
        <v>0</v>
      </c>
      <c r="C44">
        <v>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>
        <v>2</v>
      </c>
      <c r="M44">
        <v>3</v>
      </c>
      <c r="N44">
        <v>0</v>
      </c>
      <c r="O44">
        <f t="shared" si="0"/>
        <v>-1.467033040793023</v>
      </c>
      <c r="P44">
        <f t="shared" si="1"/>
        <v>0.18739399607489152</v>
      </c>
      <c r="Q44">
        <f t="shared" si="2"/>
        <v>0</v>
      </c>
      <c r="R44">
        <f t="shared" si="3"/>
        <v>0</v>
      </c>
      <c r="S44">
        <f t="shared" si="4"/>
        <v>0.81260600392510851</v>
      </c>
      <c r="T44">
        <f t="shared" si="5"/>
        <v>-0.20750890691887677</v>
      </c>
    </row>
    <row r="45" spans="1:20" x14ac:dyDescent="0.3">
      <c r="A45">
        <v>59</v>
      </c>
      <c r="B45">
        <v>1</v>
      </c>
      <c r="C45">
        <v>3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>
        <v>0</v>
      </c>
      <c r="M45">
        <v>3</v>
      </c>
      <c r="N45">
        <v>0</v>
      </c>
      <c r="O45">
        <f t="shared" si="0"/>
        <v>-2.7153041920597731</v>
      </c>
      <c r="P45">
        <f t="shared" si="1"/>
        <v>6.2076307963195979E-2</v>
      </c>
      <c r="Q45">
        <f t="shared" si="2"/>
        <v>0</v>
      </c>
      <c r="R45">
        <f t="shared" si="3"/>
        <v>0</v>
      </c>
      <c r="S45">
        <f t="shared" si="4"/>
        <v>0.93792369203680404</v>
      </c>
      <c r="T45">
        <f t="shared" si="5"/>
        <v>-6.4086685058277373E-2</v>
      </c>
    </row>
    <row r="46" spans="1:20" x14ac:dyDescent="0.3">
      <c r="A46">
        <v>61</v>
      </c>
      <c r="B46">
        <v>0</v>
      </c>
      <c r="C46">
        <v>4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>
        <v>0</v>
      </c>
      <c r="M46">
        <v>3</v>
      </c>
      <c r="N46">
        <v>1</v>
      </c>
      <c r="O46">
        <f t="shared" si="0"/>
        <v>-2.9555262389465602</v>
      </c>
      <c r="P46">
        <f t="shared" si="1"/>
        <v>4.9475975028959174E-2</v>
      </c>
      <c r="Q46">
        <f t="shared" si="2"/>
        <v>0</v>
      </c>
      <c r="R46">
        <f t="shared" si="3"/>
        <v>1</v>
      </c>
      <c r="S46">
        <f t="shared" si="4"/>
        <v>4.9475975028959174E-2</v>
      </c>
      <c r="T46">
        <f t="shared" si="5"/>
        <v>-3.0062680801796802</v>
      </c>
    </row>
    <row r="47" spans="1:20" x14ac:dyDescent="0.3">
      <c r="A47">
        <v>58</v>
      </c>
      <c r="B47">
        <v>1</v>
      </c>
      <c r="C47">
        <v>3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>
        <v>1</v>
      </c>
      <c r="M47">
        <v>7</v>
      </c>
      <c r="N47">
        <v>1</v>
      </c>
      <c r="O47">
        <f t="shared" si="0"/>
        <v>1.0054931947968893</v>
      </c>
      <c r="P47">
        <f t="shared" si="1"/>
        <v>0.73213723448260204</v>
      </c>
      <c r="Q47">
        <f t="shared" si="2"/>
        <v>1</v>
      </c>
      <c r="R47">
        <f t="shared" si="3"/>
        <v>0</v>
      </c>
      <c r="S47">
        <f t="shared" si="4"/>
        <v>0.73213723448260204</v>
      </c>
      <c r="T47">
        <f t="shared" si="5"/>
        <v>-0.31178730379141084</v>
      </c>
    </row>
    <row r="48" spans="1:20" x14ac:dyDescent="0.3">
      <c r="A48">
        <v>51</v>
      </c>
      <c r="B48">
        <v>1</v>
      </c>
      <c r="C48">
        <v>3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>
        <v>0</v>
      </c>
      <c r="M48">
        <v>3</v>
      </c>
      <c r="N48">
        <v>0</v>
      </c>
      <c r="O48">
        <f t="shared" si="0"/>
        <v>-1.2692431113273912</v>
      </c>
      <c r="P48">
        <f t="shared" si="1"/>
        <v>0.21938684647860129</v>
      </c>
      <c r="Q48">
        <f t="shared" si="2"/>
        <v>0</v>
      </c>
      <c r="R48">
        <f t="shared" si="3"/>
        <v>0</v>
      </c>
      <c r="S48">
        <f t="shared" si="4"/>
        <v>0.78061315352139871</v>
      </c>
      <c r="T48">
        <f t="shared" si="5"/>
        <v>-0.24767557385056216</v>
      </c>
    </row>
    <row r="49" spans="1:20" x14ac:dyDescent="0.3">
      <c r="A49">
        <v>50</v>
      </c>
      <c r="B49">
        <v>1</v>
      </c>
      <c r="C49">
        <v>4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>
        <v>0</v>
      </c>
      <c r="M49">
        <v>7</v>
      </c>
      <c r="N49">
        <v>1</v>
      </c>
      <c r="O49">
        <f t="shared" si="0"/>
        <v>2.5376775262074709</v>
      </c>
      <c r="P49">
        <f t="shared" si="1"/>
        <v>0.92674130570571123</v>
      </c>
      <c r="Q49">
        <f t="shared" si="2"/>
        <v>1</v>
      </c>
      <c r="R49">
        <f t="shared" si="3"/>
        <v>0</v>
      </c>
      <c r="S49">
        <f t="shared" si="4"/>
        <v>0.92674130570571123</v>
      </c>
      <c r="T49">
        <f t="shared" si="5"/>
        <v>-7.6080818483609119E-2</v>
      </c>
    </row>
    <row r="50" spans="1:20" x14ac:dyDescent="0.3">
      <c r="A50">
        <v>65</v>
      </c>
      <c r="B50">
        <v>0</v>
      </c>
      <c r="C50">
        <v>3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>
        <v>1</v>
      </c>
      <c r="M50">
        <v>3</v>
      </c>
      <c r="N50">
        <v>0</v>
      </c>
      <c r="O50">
        <f t="shared" si="0"/>
        <v>-1.9701337967117341</v>
      </c>
      <c r="P50">
        <f t="shared" si="1"/>
        <v>0.12237451646474182</v>
      </c>
      <c r="Q50">
        <f t="shared" si="2"/>
        <v>0</v>
      </c>
      <c r="R50">
        <f t="shared" si="3"/>
        <v>0</v>
      </c>
      <c r="S50">
        <f t="shared" si="4"/>
        <v>0.87762548353525816</v>
      </c>
      <c r="T50">
        <f t="shared" si="5"/>
        <v>-0.13053533268602885</v>
      </c>
    </row>
    <row r="51" spans="1:20" x14ac:dyDescent="0.3">
      <c r="A51">
        <v>53</v>
      </c>
      <c r="B51">
        <v>1</v>
      </c>
      <c r="C51">
        <v>3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>
        <v>0</v>
      </c>
      <c r="M51">
        <v>3</v>
      </c>
      <c r="N51">
        <v>0</v>
      </c>
      <c r="O51">
        <f t="shared" si="0"/>
        <v>-1.5509175566022799</v>
      </c>
      <c r="P51">
        <f t="shared" si="1"/>
        <v>0.17495378399143346</v>
      </c>
      <c r="Q51">
        <f t="shared" si="2"/>
        <v>0</v>
      </c>
      <c r="R51">
        <f t="shared" si="3"/>
        <v>0</v>
      </c>
      <c r="S51">
        <f t="shared" si="4"/>
        <v>0.82504621600856654</v>
      </c>
      <c r="T51">
        <f t="shared" si="5"/>
        <v>-0.19231587481216122</v>
      </c>
    </row>
    <row r="52" spans="1:20" x14ac:dyDescent="0.3">
      <c r="A52">
        <v>41</v>
      </c>
      <c r="B52">
        <v>0</v>
      </c>
      <c r="C52">
        <v>2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1</v>
      </c>
      <c r="L52">
        <v>1</v>
      </c>
      <c r="M52">
        <v>3</v>
      </c>
      <c r="N52">
        <v>0</v>
      </c>
      <c r="O52">
        <f t="shared" si="0"/>
        <v>-2.8076276704847003</v>
      </c>
      <c r="P52">
        <f t="shared" si="1"/>
        <v>5.6913380044861628E-2</v>
      </c>
      <c r="Q52">
        <f t="shared" si="2"/>
        <v>0</v>
      </c>
      <c r="R52">
        <f t="shared" si="3"/>
        <v>0</v>
      </c>
      <c r="S52">
        <f t="shared" si="4"/>
        <v>0.94308661995513843</v>
      </c>
      <c r="T52">
        <f t="shared" si="5"/>
        <v>-5.8597144835304857E-2</v>
      </c>
    </row>
    <row r="53" spans="1:20" x14ac:dyDescent="0.3">
      <c r="A53">
        <v>65</v>
      </c>
      <c r="B53">
        <v>1</v>
      </c>
      <c r="C53">
        <v>4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1</v>
      </c>
      <c r="L53">
        <v>0</v>
      </c>
      <c r="M53">
        <v>7</v>
      </c>
      <c r="N53">
        <v>0</v>
      </c>
      <c r="O53">
        <f t="shared" si="0"/>
        <v>-0.65864401169155018</v>
      </c>
      <c r="P53">
        <f t="shared" si="1"/>
        <v>0.34104428126108011</v>
      </c>
      <c r="Q53">
        <f t="shared" si="2"/>
        <v>0</v>
      </c>
      <c r="R53">
        <f t="shared" si="3"/>
        <v>0</v>
      </c>
      <c r="S53">
        <f t="shared" si="4"/>
        <v>0.65895571873891989</v>
      </c>
      <c r="T53">
        <f t="shared" si="5"/>
        <v>-0.4170989413671537</v>
      </c>
    </row>
    <row r="54" spans="1:20" x14ac:dyDescent="0.3">
      <c r="A54">
        <v>44</v>
      </c>
      <c r="B54">
        <v>1</v>
      </c>
      <c r="C54">
        <v>4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1</v>
      </c>
      <c r="L54">
        <v>1</v>
      </c>
      <c r="M54">
        <v>3</v>
      </c>
      <c r="N54">
        <v>1</v>
      </c>
      <c r="O54">
        <f t="shared" si="0"/>
        <v>0.2535829132828904</v>
      </c>
      <c r="P54">
        <f t="shared" si="1"/>
        <v>0.56305818060256918</v>
      </c>
      <c r="Q54">
        <f t="shared" si="2"/>
        <v>1</v>
      </c>
      <c r="R54">
        <f t="shared" si="3"/>
        <v>0</v>
      </c>
      <c r="S54">
        <f t="shared" si="4"/>
        <v>0.56305818060256918</v>
      </c>
      <c r="T54">
        <f t="shared" si="5"/>
        <v>-0.574372315857411</v>
      </c>
    </row>
    <row r="55" spans="1:20" x14ac:dyDescent="0.3">
      <c r="A55">
        <v>44</v>
      </c>
      <c r="B55">
        <v>1</v>
      </c>
      <c r="C55">
        <v>2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f t="shared" si="0"/>
        <v>-3.0089744231716047</v>
      </c>
      <c r="P55">
        <f t="shared" si="1"/>
        <v>4.7022081462872158E-2</v>
      </c>
      <c r="Q55">
        <f t="shared" si="2"/>
        <v>0</v>
      </c>
      <c r="R55">
        <f t="shared" si="3"/>
        <v>0</v>
      </c>
      <c r="S55">
        <f t="shared" si="4"/>
        <v>0.95297791853712788</v>
      </c>
      <c r="T55">
        <f t="shared" si="5"/>
        <v>-4.8163546071581388E-2</v>
      </c>
    </row>
    <row r="56" spans="1:20" x14ac:dyDescent="0.3">
      <c r="A56">
        <v>60</v>
      </c>
      <c r="B56">
        <v>1</v>
      </c>
      <c r="C56">
        <v>4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1</v>
      </c>
      <c r="L56">
        <v>1</v>
      </c>
      <c r="M56">
        <v>7</v>
      </c>
      <c r="N56">
        <v>1</v>
      </c>
      <c r="O56">
        <f t="shared" si="0"/>
        <v>2.1054981419980017</v>
      </c>
      <c r="P56">
        <f t="shared" si="1"/>
        <v>0.89143642168197323</v>
      </c>
      <c r="Q56">
        <f t="shared" si="2"/>
        <v>1</v>
      </c>
      <c r="R56">
        <f t="shared" si="3"/>
        <v>0</v>
      </c>
      <c r="S56">
        <f t="shared" si="4"/>
        <v>0.89143642168197323</v>
      </c>
      <c r="T56">
        <f t="shared" si="5"/>
        <v>-0.11492116033874446</v>
      </c>
    </row>
    <row r="57" spans="1:20" x14ac:dyDescent="0.3">
      <c r="A57">
        <v>54</v>
      </c>
      <c r="B57">
        <v>1</v>
      </c>
      <c r="C57">
        <v>4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2</v>
      </c>
      <c r="L57">
        <v>1</v>
      </c>
      <c r="M57">
        <v>7</v>
      </c>
      <c r="N57">
        <v>1</v>
      </c>
      <c r="O57">
        <f t="shared" si="0"/>
        <v>4.7257570133782085</v>
      </c>
      <c r="P57">
        <f t="shared" si="1"/>
        <v>0.99121387898528523</v>
      </c>
      <c r="Q57">
        <f t="shared" si="2"/>
        <v>1</v>
      </c>
      <c r="R57">
        <f t="shared" si="3"/>
        <v>0</v>
      </c>
      <c r="S57">
        <f t="shared" si="4"/>
        <v>0.99121387898528523</v>
      </c>
      <c r="T57">
        <f t="shared" si="5"/>
        <v>-8.8249465605478375E-3</v>
      </c>
    </row>
    <row r="58" spans="1:20" x14ac:dyDescent="0.3">
      <c r="A58">
        <v>50</v>
      </c>
      <c r="B58">
        <v>1</v>
      </c>
      <c r="C58">
        <v>3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2</v>
      </c>
      <c r="L58">
        <v>1</v>
      </c>
      <c r="M58">
        <v>7</v>
      </c>
      <c r="N58">
        <v>1</v>
      </c>
      <c r="O58">
        <f t="shared" si="0"/>
        <v>0.79674883540033381</v>
      </c>
      <c r="P58">
        <f t="shared" si="1"/>
        <v>0.68927859630259702</v>
      </c>
      <c r="Q58">
        <f t="shared" si="2"/>
        <v>1</v>
      </c>
      <c r="R58">
        <f t="shared" si="3"/>
        <v>0</v>
      </c>
      <c r="S58">
        <f t="shared" si="4"/>
        <v>0.68927859630259702</v>
      </c>
      <c r="T58">
        <f t="shared" si="5"/>
        <v>-0.37210974092531507</v>
      </c>
    </row>
    <row r="59" spans="1:20" x14ac:dyDescent="0.3">
      <c r="A59">
        <v>41</v>
      </c>
      <c r="B59">
        <v>1</v>
      </c>
      <c r="C59">
        <v>4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1</v>
      </c>
      <c r="L59">
        <v>0</v>
      </c>
      <c r="M59">
        <v>7</v>
      </c>
      <c r="N59">
        <v>1</v>
      </c>
      <c r="O59">
        <f t="shared" si="0"/>
        <v>1.6264796367603918E-2</v>
      </c>
      <c r="P59">
        <f t="shared" si="1"/>
        <v>0.50406610945369323</v>
      </c>
      <c r="Q59">
        <f t="shared" si="2"/>
        <v>1</v>
      </c>
      <c r="R59">
        <f t="shared" si="3"/>
        <v>0</v>
      </c>
      <c r="S59">
        <f t="shared" si="4"/>
        <v>0.50406610945369323</v>
      </c>
      <c r="T59">
        <f t="shared" si="5"/>
        <v>-0.68504784996176316</v>
      </c>
    </row>
    <row r="60" spans="1:20" x14ac:dyDescent="0.3">
      <c r="A60">
        <v>54</v>
      </c>
      <c r="B60">
        <v>1</v>
      </c>
      <c r="C60">
        <v>3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3</v>
      </c>
      <c r="L60">
        <v>1</v>
      </c>
      <c r="M60">
        <v>3</v>
      </c>
      <c r="N60">
        <v>0</v>
      </c>
      <c r="O60">
        <f t="shared" si="0"/>
        <v>0.34099738459049012</v>
      </c>
      <c r="P60">
        <f t="shared" si="1"/>
        <v>0.58443277921459347</v>
      </c>
      <c r="Q60">
        <f t="shared" si="2"/>
        <v>1</v>
      </c>
      <c r="R60">
        <f t="shared" si="3"/>
        <v>1</v>
      </c>
      <c r="S60">
        <f t="shared" si="4"/>
        <v>0.41556722078540653</v>
      </c>
      <c r="T60">
        <f t="shared" si="5"/>
        <v>-0.87811089489504113</v>
      </c>
    </row>
    <row r="61" spans="1:20" x14ac:dyDescent="0.3">
      <c r="A61">
        <v>51</v>
      </c>
      <c r="B61">
        <v>1</v>
      </c>
      <c r="C61">
        <v>1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1</v>
      </c>
      <c r="L61">
        <v>1</v>
      </c>
      <c r="M61">
        <v>3</v>
      </c>
      <c r="N61">
        <v>0</v>
      </c>
      <c r="O61">
        <f t="shared" si="0"/>
        <v>1.0710907915530294</v>
      </c>
      <c r="P61">
        <f t="shared" si="1"/>
        <v>0.74480429886789246</v>
      </c>
      <c r="Q61">
        <f t="shared" si="2"/>
        <v>1</v>
      </c>
      <c r="R61">
        <f t="shared" si="3"/>
        <v>1</v>
      </c>
      <c r="S61">
        <f t="shared" si="4"/>
        <v>0.25519570113210754</v>
      </c>
      <c r="T61">
        <f t="shared" si="5"/>
        <v>-1.3657245727470049</v>
      </c>
    </row>
    <row r="62" spans="1:20" x14ac:dyDescent="0.3">
      <c r="A62">
        <v>51</v>
      </c>
      <c r="B62">
        <v>0</v>
      </c>
      <c r="C62">
        <v>4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2</v>
      </c>
      <c r="L62">
        <v>0</v>
      </c>
      <c r="M62">
        <v>7</v>
      </c>
      <c r="N62">
        <v>1</v>
      </c>
      <c r="O62">
        <f t="shared" si="0"/>
        <v>0.74840719553860557</v>
      </c>
      <c r="P62">
        <f t="shared" si="1"/>
        <v>0.67883153605142432</v>
      </c>
      <c r="Q62">
        <f t="shared" si="2"/>
        <v>1</v>
      </c>
      <c r="R62">
        <f t="shared" si="3"/>
        <v>0</v>
      </c>
      <c r="S62">
        <f t="shared" si="4"/>
        <v>0.67883153605142432</v>
      </c>
      <c r="T62">
        <f t="shared" si="5"/>
        <v>-0.38738228816937326</v>
      </c>
    </row>
    <row r="63" spans="1:20" x14ac:dyDescent="0.3">
      <c r="A63">
        <v>46</v>
      </c>
      <c r="B63">
        <v>0</v>
      </c>
      <c r="C63">
        <v>3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3</v>
      </c>
      <c r="L63">
        <v>0</v>
      </c>
      <c r="M63">
        <v>3</v>
      </c>
      <c r="N63">
        <v>0</v>
      </c>
      <c r="O63">
        <f t="shared" si="0"/>
        <v>-0.73805643874575355</v>
      </c>
      <c r="P63">
        <f t="shared" si="1"/>
        <v>0.32342929321401809</v>
      </c>
      <c r="Q63">
        <f t="shared" si="2"/>
        <v>0</v>
      </c>
      <c r="R63">
        <f t="shared" si="3"/>
        <v>0</v>
      </c>
      <c r="S63">
        <f t="shared" si="4"/>
        <v>0.67657070678598186</v>
      </c>
      <c r="T63">
        <f t="shared" si="5"/>
        <v>-0.39071831830232961</v>
      </c>
    </row>
    <row r="64" spans="1:20" x14ac:dyDescent="0.3">
      <c r="A64">
        <v>58</v>
      </c>
      <c r="B64">
        <v>1</v>
      </c>
      <c r="C64">
        <v>4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2</v>
      </c>
      <c r="L64">
        <v>3</v>
      </c>
      <c r="M64">
        <v>7</v>
      </c>
      <c r="N64">
        <v>1</v>
      </c>
      <c r="O64">
        <f t="shared" si="0"/>
        <v>6.1417959525980468</v>
      </c>
      <c r="P64">
        <f t="shared" si="1"/>
        <v>0.99785356016348803</v>
      </c>
      <c r="Q64">
        <f t="shared" si="2"/>
        <v>1</v>
      </c>
      <c r="R64">
        <f t="shared" si="3"/>
        <v>0</v>
      </c>
      <c r="S64">
        <f t="shared" si="4"/>
        <v>0.99785356016348803</v>
      </c>
      <c r="T64">
        <f t="shared" si="5"/>
        <v>-2.1487467401756109E-3</v>
      </c>
    </row>
    <row r="65" spans="1:20" x14ac:dyDescent="0.3">
      <c r="A65">
        <v>54</v>
      </c>
      <c r="B65">
        <v>0</v>
      </c>
      <c r="C65">
        <v>3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1</v>
      </c>
      <c r="L65">
        <v>0</v>
      </c>
      <c r="M65">
        <v>3</v>
      </c>
      <c r="N65">
        <v>0</v>
      </c>
      <c r="O65">
        <f t="shared" si="0"/>
        <v>-4.3673503572147636</v>
      </c>
      <c r="P65">
        <f t="shared" si="1"/>
        <v>1.2525917448859497E-2</v>
      </c>
      <c r="Q65">
        <f t="shared" si="2"/>
        <v>0</v>
      </c>
      <c r="R65">
        <f t="shared" si="3"/>
        <v>0</v>
      </c>
      <c r="S65">
        <f t="shared" si="4"/>
        <v>0.98747408255114055</v>
      </c>
      <c r="T65">
        <f t="shared" si="5"/>
        <v>-1.2605028069112099E-2</v>
      </c>
    </row>
    <row r="66" spans="1:20" x14ac:dyDescent="0.3">
      <c r="A66">
        <v>54</v>
      </c>
      <c r="B66">
        <v>1</v>
      </c>
      <c r="C66">
        <v>4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2</v>
      </c>
      <c r="L66">
        <v>1</v>
      </c>
      <c r="M66">
        <v>7</v>
      </c>
      <c r="N66">
        <v>1</v>
      </c>
      <c r="O66">
        <f t="shared" si="0"/>
        <v>2.7091616282811803</v>
      </c>
      <c r="P66">
        <f t="shared" si="1"/>
        <v>0.93756509102909413</v>
      </c>
      <c r="Q66">
        <f t="shared" si="2"/>
        <v>1</v>
      </c>
      <c r="R66">
        <f t="shared" si="3"/>
        <v>0</v>
      </c>
      <c r="S66">
        <f t="shared" si="4"/>
        <v>0.93756509102909413</v>
      </c>
      <c r="T66">
        <f t="shared" si="5"/>
        <v>-6.4469093116718251E-2</v>
      </c>
    </row>
    <row r="67" spans="1:20" x14ac:dyDescent="0.3">
      <c r="A67">
        <v>60</v>
      </c>
      <c r="B67">
        <v>1</v>
      </c>
      <c r="C67">
        <v>4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2</v>
      </c>
      <c r="L67">
        <v>2</v>
      </c>
      <c r="M67">
        <v>7</v>
      </c>
      <c r="N67">
        <v>1</v>
      </c>
      <c r="O67">
        <f t="shared" ref="O67:O130" si="7">SUMPRODUCT(A67:M67,W$6:AI$6)+AJ71</f>
        <v>4.965799833343671</v>
      </c>
      <c r="P67">
        <f t="shared" ref="P67:P130" si="8">1/(1+EXP(-O67))</f>
        <v>0.99307590561714842</v>
      </c>
      <c r="Q67">
        <f t="shared" ref="Q67:Q130" si="9">IF(P67&gt;0.5,1,0)</f>
        <v>1</v>
      </c>
      <c r="R67">
        <f t="shared" ref="R67:R130" si="10">IF(N67=Q67,0,1)</f>
        <v>0</v>
      </c>
      <c r="S67">
        <f t="shared" ref="S67:S130" si="11">IF(N67=1,P67,1-P67)</f>
        <v>0.99307590561714842</v>
      </c>
      <c r="T67">
        <f t="shared" ref="T67:T130" si="12">LN(S67)</f>
        <v>-6.9481771563431839E-3</v>
      </c>
    </row>
    <row r="68" spans="1:20" x14ac:dyDescent="0.3">
      <c r="A68">
        <v>60</v>
      </c>
      <c r="B68">
        <v>1</v>
      </c>
      <c r="C68">
        <v>3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2</v>
      </c>
      <c r="L68">
        <v>0</v>
      </c>
      <c r="M68">
        <v>3</v>
      </c>
      <c r="N68">
        <v>1</v>
      </c>
      <c r="O68">
        <f t="shared" si="7"/>
        <v>-0.9171609100983753</v>
      </c>
      <c r="P68">
        <f t="shared" si="8"/>
        <v>0.28553673144076203</v>
      </c>
      <c r="Q68">
        <f t="shared" si="9"/>
        <v>0</v>
      </c>
      <c r="R68">
        <f t="shared" si="10"/>
        <v>1</v>
      </c>
      <c r="S68">
        <f t="shared" si="11"/>
        <v>0.28553673144076203</v>
      </c>
      <c r="T68">
        <f t="shared" si="12"/>
        <v>-1.253384601626546</v>
      </c>
    </row>
    <row r="69" spans="1:20" x14ac:dyDescent="0.3">
      <c r="A69">
        <v>54</v>
      </c>
      <c r="B69">
        <v>1</v>
      </c>
      <c r="C69">
        <v>3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1</v>
      </c>
      <c r="L69">
        <v>0</v>
      </c>
      <c r="M69">
        <v>7</v>
      </c>
      <c r="N69">
        <v>0</v>
      </c>
      <c r="O69">
        <f t="shared" si="7"/>
        <v>-2.8496656132282805E-2</v>
      </c>
      <c r="P69">
        <f t="shared" si="8"/>
        <v>0.49287631803148668</v>
      </c>
      <c r="Q69">
        <f t="shared" si="9"/>
        <v>0</v>
      </c>
      <c r="R69">
        <f t="shared" si="10"/>
        <v>0</v>
      </c>
      <c r="S69">
        <f t="shared" si="11"/>
        <v>0.50712368196851332</v>
      </c>
      <c r="T69">
        <f t="shared" si="12"/>
        <v>-0.67900035648574408</v>
      </c>
    </row>
    <row r="70" spans="1:20" x14ac:dyDescent="0.3">
      <c r="A70">
        <v>59</v>
      </c>
      <c r="B70">
        <v>1</v>
      </c>
      <c r="C70">
        <v>4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3</v>
      </c>
      <c r="L70">
        <v>0</v>
      </c>
      <c r="M70">
        <v>7</v>
      </c>
      <c r="N70">
        <v>1</v>
      </c>
      <c r="O70">
        <f t="shared" si="7"/>
        <v>3.5283044199507048</v>
      </c>
      <c r="P70">
        <f t="shared" si="8"/>
        <v>0.97148247502728613</v>
      </c>
      <c r="Q70">
        <f t="shared" si="9"/>
        <v>1</v>
      </c>
      <c r="R70">
        <f t="shared" si="10"/>
        <v>0</v>
      </c>
      <c r="S70">
        <f t="shared" si="11"/>
        <v>0.97148247502728613</v>
      </c>
      <c r="T70">
        <f t="shared" si="12"/>
        <v>-2.8932049414032931E-2</v>
      </c>
    </row>
    <row r="71" spans="1:20" x14ac:dyDescent="0.3">
      <c r="A71">
        <v>46</v>
      </c>
      <c r="B71">
        <v>1</v>
      </c>
      <c r="C71">
        <v>3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2</v>
      </c>
      <c r="L71">
        <v>0</v>
      </c>
      <c r="M71">
        <v>3</v>
      </c>
      <c r="N71">
        <v>1</v>
      </c>
      <c r="O71">
        <f t="shared" si="7"/>
        <v>-0.11708692308772384</v>
      </c>
      <c r="P71">
        <f t="shared" si="8"/>
        <v>0.47076166480655535</v>
      </c>
      <c r="Q71">
        <f t="shared" si="9"/>
        <v>0</v>
      </c>
      <c r="R71">
        <f t="shared" si="10"/>
        <v>1</v>
      </c>
      <c r="S71">
        <f t="shared" si="11"/>
        <v>0.47076166480655535</v>
      </c>
      <c r="T71">
        <f t="shared" si="12"/>
        <v>-0.75340333255579306</v>
      </c>
    </row>
    <row r="72" spans="1:20" x14ac:dyDescent="0.3">
      <c r="A72">
        <v>65</v>
      </c>
      <c r="B72">
        <v>0</v>
      </c>
      <c r="C72">
        <v>3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1</v>
      </c>
      <c r="L72">
        <v>0</v>
      </c>
      <c r="M72">
        <v>3</v>
      </c>
      <c r="N72">
        <v>0</v>
      </c>
      <c r="O72">
        <f t="shared" si="7"/>
        <v>-2.8386649466725435</v>
      </c>
      <c r="P72">
        <f t="shared" si="8"/>
        <v>5.5270206765677607E-2</v>
      </c>
      <c r="Q72">
        <f t="shared" si="9"/>
        <v>0</v>
      </c>
      <c r="R72">
        <f t="shared" si="10"/>
        <v>0</v>
      </c>
      <c r="S72">
        <f t="shared" si="11"/>
        <v>0.94472979323432238</v>
      </c>
      <c r="T72">
        <f t="shared" si="12"/>
        <v>-5.6856325460426183E-2</v>
      </c>
    </row>
    <row r="73" spans="1:20" x14ac:dyDescent="0.3">
      <c r="A73">
        <v>67</v>
      </c>
      <c r="B73">
        <v>1</v>
      </c>
      <c r="C73">
        <v>4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2</v>
      </c>
      <c r="L73">
        <v>2</v>
      </c>
      <c r="M73">
        <v>7</v>
      </c>
      <c r="N73">
        <v>1</v>
      </c>
      <c r="O73">
        <f t="shared" si="7"/>
        <v>0.63689684645131139</v>
      </c>
      <c r="P73">
        <f t="shared" si="8"/>
        <v>0.65405165204443094</v>
      </c>
      <c r="Q73">
        <f t="shared" si="9"/>
        <v>1</v>
      </c>
      <c r="R73">
        <f t="shared" si="10"/>
        <v>0</v>
      </c>
      <c r="S73">
        <f t="shared" si="11"/>
        <v>0.65405165204443094</v>
      </c>
      <c r="T73">
        <f t="shared" si="12"/>
        <v>-0.42456895198237921</v>
      </c>
    </row>
    <row r="74" spans="1:20" x14ac:dyDescent="0.3">
      <c r="A74">
        <v>62</v>
      </c>
      <c r="B74">
        <v>1</v>
      </c>
      <c r="C74">
        <v>4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2</v>
      </c>
      <c r="L74">
        <v>2</v>
      </c>
      <c r="M74">
        <v>7</v>
      </c>
      <c r="N74">
        <v>1</v>
      </c>
      <c r="O74">
        <f t="shared" si="7"/>
        <v>5.2764261063274756</v>
      </c>
      <c r="P74">
        <f t="shared" si="8"/>
        <v>0.99491532291212093</v>
      </c>
      <c r="Q74">
        <f t="shared" si="9"/>
        <v>1</v>
      </c>
      <c r="R74">
        <f t="shared" si="10"/>
        <v>0</v>
      </c>
      <c r="S74">
        <f t="shared" si="11"/>
        <v>0.99491532291212093</v>
      </c>
      <c r="T74">
        <f t="shared" si="12"/>
        <v>-5.0976480458595763E-3</v>
      </c>
    </row>
    <row r="75" spans="1:20" x14ac:dyDescent="0.3">
      <c r="A75">
        <v>65</v>
      </c>
      <c r="B75">
        <v>1</v>
      </c>
      <c r="C75">
        <v>4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1</v>
      </c>
      <c r="L75">
        <v>2</v>
      </c>
      <c r="M75">
        <v>6</v>
      </c>
      <c r="N75">
        <v>1</v>
      </c>
      <c r="O75">
        <f t="shared" si="7"/>
        <v>1.4520156244746243</v>
      </c>
      <c r="P75">
        <f t="shared" si="8"/>
        <v>0.8103084467348971</v>
      </c>
      <c r="Q75">
        <f t="shared" si="9"/>
        <v>1</v>
      </c>
      <c r="R75">
        <f t="shared" si="10"/>
        <v>0</v>
      </c>
      <c r="S75">
        <f t="shared" si="11"/>
        <v>0.8103084467348971</v>
      </c>
      <c r="T75">
        <f t="shared" si="12"/>
        <v>-0.21034030536283232</v>
      </c>
    </row>
    <row r="76" spans="1:20" x14ac:dyDescent="0.3">
      <c r="A76">
        <v>44</v>
      </c>
      <c r="B76">
        <v>1</v>
      </c>
      <c r="C76">
        <v>4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1</v>
      </c>
      <c r="L76">
        <v>1</v>
      </c>
      <c r="M76">
        <v>3</v>
      </c>
      <c r="N76">
        <v>1</v>
      </c>
      <c r="O76">
        <f t="shared" si="7"/>
        <v>-0.93193749056170594</v>
      </c>
      <c r="P76">
        <f t="shared" si="8"/>
        <v>0.28253180504931119</v>
      </c>
      <c r="Q76">
        <f t="shared" si="9"/>
        <v>0</v>
      </c>
      <c r="R76">
        <f t="shared" si="10"/>
        <v>1</v>
      </c>
      <c r="S76">
        <f t="shared" si="11"/>
        <v>0.28253180504931119</v>
      </c>
      <c r="T76">
        <f t="shared" si="12"/>
        <v>-1.2639641504874226</v>
      </c>
    </row>
    <row r="77" spans="1:20" x14ac:dyDescent="0.3">
      <c r="A77">
        <v>65</v>
      </c>
      <c r="B77">
        <v>0</v>
      </c>
      <c r="C77">
        <v>3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1</v>
      </c>
      <c r="L77">
        <v>0</v>
      </c>
      <c r="M77">
        <v>3</v>
      </c>
      <c r="N77">
        <v>0</v>
      </c>
      <c r="O77">
        <f t="shared" si="7"/>
        <v>-2.0844576480149417</v>
      </c>
      <c r="P77">
        <f t="shared" si="8"/>
        <v>0.11061665877037304</v>
      </c>
      <c r="Q77">
        <f t="shared" si="9"/>
        <v>0</v>
      </c>
      <c r="R77">
        <f t="shared" si="10"/>
        <v>0</v>
      </c>
      <c r="S77">
        <f t="shared" si="11"/>
        <v>0.88938334122962692</v>
      </c>
      <c r="T77">
        <f t="shared" si="12"/>
        <v>-0.11722693142767646</v>
      </c>
    </row>
    <row r="78" spans="1:20" x14ac:dyDescent="0.3">
      <c r="A78">
        <v>60</v>
      </c>
      <c r="B78">
        <v>1</v>
      </c>
      <c r="C78">
        <v>4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2</v>
      </c>
      <c r="L78">
        <v>1</v>
      </c>
      <c r="M78">
        <v>7</v>
      </c>
      <c r="N78">
        <v>1</v>
      </c>
      <c r="O78">
        <f t="shared" si="7"/>
        <v>3.3901621614122548</v>
      </c>
      <c r="P78">
        <f t="shared" si="8"/>
        <v>0.96739565986220877</v>
      </c>
      <c r="Q78">
        <f t="shared" si="9"/>
        <v>1</v>
      </c>
      <c r="R78">
        <f t="shared" si="10"/>
        <v>0</v>
      </c>
      <c r="S78">
        <f t="shared" si="11"/>
        <v>0.96739565986220877</v>
      </c>
      <c r="T78">
        <f t="shared" si="12"/>
        <v>-3.3147704997561693E-2</v>
      </c>
    </row>
    <row r="79" spans="1:20" x14ac:dyDescent="0.3">
      <c r="A79">
        <v>51</v>
      </c>
      <c r="B79">
        <v>0</v>
      </c>
      <c r="C79">
        <v>3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1</v>
      </c>
      <c r="L79">
        <v>1</v>
      </c>
      <c r="M79">
        <v>3</v>
      </c>
      <c r="N79">
        <v>0</v>
      </c>
      <c r="O79">
        <f t="shared" si="7"/>
        <v>-0.1084758799268335</v>
      </c>
      <c r="P79">
        <f t="shared" si="8"/>
        <v>0.47290759121145787</v>
      </c>
      <c r="Q79">
        <f t="shared" si="9"/>
        <v>0</v>
      </c>
      <c r="R79">
        <f t="shared" si="10"/>
        <v>0</v>
      </c>
      <c r="S79">
        <f t="shared" si="11"/>
        <v>0.52709240878854213</v>
      </c>
      <c r="T79">
        <f t="shared" si="12"/>
        <v>-0.64037939706770719</v>
      </c>
    </row>
    <row r="80" spans="1:20" x14ac:dyDescent="0.3">
      <c r="A80">
        <v>48</v>
      </c>
      <c r="B80">
        <v>1</v>
      </c>
      <c r="C80">
        <v>2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2</v>
      </c>
      <c r="L80">
        <v>0</v>
      </c>
      <c r="M80">
        <v>3</v>
      </c>
      <c r="N80">
        <v>0</v>
      </c>
      <c r="O80">
        <f t="shared" si="7"/>
        <v>-2.4662807446526158</v>
      </c>
      <c r="P80">
        <f t="shared" si="8"/>
        <v>7.8256092277523587E-2</v>
      </c>
      <c r="Q80">
        <f t="shared" si="9"/>
        <v>0</v>
      </c>
      <c r="R80">
        <f t="shared" si="10"/>
        <v>0</v>
      </c>
      <c r="S80">
        <f t="shared" si="11"/>
        <v>0.92174390772247639</v>
      </c>
      <c r="T80">
        <f t="shared" si="12"/>
        <v>-8.1487851358153909E-2</v>
      </c>
    </row>
    <row r="81" spans="1:20" x14ac:dyDescent="0.3">
      <c r="A81">
        <v>58</v>
      </c>
      <c r="B81">
        <v>1</v>
      </c>
      <c r="C81">
        <v>4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1</v>
      </c>
      <c r="L81">
        <v>0</v>
      </c>
      <c r="M81">
        <v>7</v>
      </c>
      <c r="N81">
        <v>1</v>
      </c>
      <c r="O81">
        <f t="shared" si="7"/>
        <v>2.9481448022242556</v>
      </c>
      <c r="P81">
        <f t="shared" si="8"/>
        <v>0.95017573333763772</v>
      </c>
      <c r="Q81">
        <f t="shared" si="9"/>
        <v>1</v>
      </c>
      <c r="R81">
        <f t="shared" si="10"/>
        <v>0</v>
      </c>
      <c r="S81">
        <f t="shared" si="11"/>
        <v>0.95017573333763772</v>
      </c>
      <c r="T81">
        <f t="shared" si="12"/>
        <v>-5.1108329034024978E-2</v>
      </c>
    </row>
    <row r="82" spans="1:20" x14ac:dyDescent="0.3">
      <c r="A82">
        <v>45</v>
      </c>
      <c r="B82">
        <v>1</v>
      </c>
      <c r="C82">
        <v>4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2</v>
      </c>
      <c r="L82">
        <v>0</v>
      </c>
      <c r="M82">
        <v>3</v>
      </c>
      <c r="N82">
        <v>0</v>
      </c>
      <c r="O82">
        <f t="shared" si="7"/>
        <v>0.74768240249692286</v>
      </c>
      <c r="P82">
        <f t="shared" si="8"/>
        <v>0.67867349671560095</v>
      </c>
      <c r="Q82">
        <f t="shared" si="9"/>
        <v>1</v>
      </c>
      <c r="R82">
        <f t="shared" si="10"/>
        <v>1</v>
      </c>
      <c r="S82">
        <f t="shared" si="11"/>
        <v>0.32132650328439905</v>
      </c>
      <c r="T82">
        <f t="shared" si="12"/>
        <v>-1.1352975286046061</v>
      </c>
    </row>
    <row r="83" spans="1:20" x14ac:dyDescent="0.3">
      <c r="A83">
        <v>53</v>
      </c>
      <c r="B83">
        <v>0</v>
      </c>
      <c r="C83">
        <v>4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2</v>
      </c>
      <c r="L83">
        <v>0</v>
      </c>
      <c r="M83">
        <v>3</v>
      </c>
      <c r="N83">
        <v>0</v>
      </c>
      <c r="O83">
        <f t="shared" si="7"/>
        <v>-1.3701986246738347</v>
      </c>
      <c r="P83">
        <f t="shared" si="8"/>
        <v>0.20258775752241279</v>
      </c>
      <c r="Q83">
        <f t="shared" si="9"/>
        <v>0</v>
      </c>
      <c r="R83">
        <f t="shared" si="10"/>
        <v>0</v>
      </c>
      <c r="S83">
        <f t="shared" si="11"/>
        <v>0.79741224247758724</v>
      </c>
      <c r="T83">
        <f t="shared" si="12"/>
        <v>-0.22638349115852316</v>
      </c>
    </row>
    <row r="84" spans="1:20" x14ac:dyDescent="0.3">
      <c r="A84">
        <v>39</v>
      </c>
      <c r="B84">
        <v>1</v>
      </c>
      <c r="C84">
        <v>3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1</v>
      </c>
      <c r="L84">
        <v>0</v>
      </c>
      <c r="M84">
        <v>3</v>
      </c>
      <c r="N84">
        <v>0</v>
      </c>
      <c r="O84">
        <f t="shared" si="7"/>
        <v>-1.7638856219507382</v>
      </c>
      <c r="P84">
        <f t="shared" si="8"/>
        <v>0.14630436068854386</v>
      </c>
      <c r="Q84">
        <f t="shared" si="9"/>
        <v>0</v>
      </c>
      <c r="R84">
        <f t="shared" si="10"/>
        <v>0</v>
      </c>
      <c r="S84">
        <f t="shared" si="11"/>
        <v>0.85369563931145609</v>
      </c>
      <c r="T84">
        <f t="shared" si="12"/>
        <v>-0.15818054296597137</v>
      </c>
    </row>
    <row r="85" spans="1:20" x14ac:dyDescent="0.3">
      <c r="A85">
        <v>68</v>
      </c>
      <c r="B85">
        <v>1</v>
      </c>
      <c r="C85">
        <v>3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2</v>
      </c>
      <c r="L85">
        <v>0</v>
      </c>
      <c r="M85">
        <v>7</v>
      </c>
      <c r="N85">
        <v>1</v>
      </c>
      <c r="O85">
        <f t="shared" si="7"/>
        <v>0.84760539845173977</v>
      </c>
      <c r="P85">
        <f t="shared" si="8"/>
        <v>0.70006457902094221</v>
      </c>
      <c r="Q85">
        <f t="shared" si="9"/>
        <v>1</v>
      </c>
      <c r="R85">
        <f t="shared" si="10"/>
        <v>0</v>
      </c>
      <c r="S85">
        <f t="shared" si="11"/>
        <v>0.70006457902094221</v>
      </c>
      <c r="T85">
        <f t="shared" si="12"/>
        <v>-0.35658269244982865</v>
      </c>
    </row>
    <row r="86" spans="1:20" x14ac:dyDescent="0.3">
      <c r="A86">
        <v>52</v>
      </c>
      <c r="B86">
        <v>1</v>
      </c>
      <c r="C86">
        <v>2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1</v>
      </c>
      <c r="L86">
        <v>0</v>
      </c>
      <c r="M86">
        <v>3</v>
      </c>
      <c r="N86">
        <v>0</v>
      </c>
      <c r="O86">
        <f t="shared" si="7"/>
        <v>-3.1409444040941654</v>
      </c>
      <c r="P86">
        <f t="shared" si="8"/>
        <v>4.1449580444739613E-2</v>
      </c>
      <c r="Q86">
        <f t="shared" si="9"/>
        <v>0</v>
      </c>
      <c r="R86">
        <f t="shared" si="10"/>
        <v>0</v>
      </c>
      <c r="S86">
        <f t="shared" si="11"/>
        <v>0.95855041955526044</v>
      </c>
      <c r="T86">
        <f t="shared" si="12"/>
        <v>-4.2333115318338693E-2</v>
      </c>
    </row>
    <row r="87" spans="1:20" x14ac:dyDescent="0.3">
      <c r="A87">
        <v>44</v>
      </c>
      <c r="B87">
        <v>1</v>
      </c>
      <c r="C87">
        <v>3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1</v>
      </c>
      <c r="L87">
        <v>0</v>
      </c>
      <c r="M87">
        <v>3</v>
      </c>
      <c r="N87">
        <v>0</v>
      </c>
      <c r="O87">
        <f t="shared" si="7"/>
        <v>-2.1310861761918947</v>
      </c>
      <c r="P87">
        <f t="shared" si="8"/>
        <v>0.10611192140722443</v>
      </c>
      <c r="Q87">
        <f t="shared" si="9"/>
        <v>0</v>
      </c>
      <c r="R87">
        <f t="shared" si="10"/>
        <v>0</v>
      </c>
      <c r="S87">
        <f t="shared" si="11"/>
        <v>0.89388807859277553</v>
      </c>
      <c r="T87">
        <f t="shared" si="12"/>
        <v>-0.11217470337643787</v>
      </c>
    </row>
    <row r="88" spans="1:20" x14ac:dyDescent="0.3">
      <c r="A88">
        <v>47</v>
      </c>
      <c r="B88">
        <v>1</v>
      </c>
      <c r="C88">
        <v>3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O88">
        <f t="shared" si="7"/>
        <v>-1.3215390028568628</v>
      </c>
      <c r="P88">
        <f t="shared" si="8"/>
        <v>0.2105623574630526</v>
      </c>
      <c r="Q88">
        <f t="shared" si="9"/>
        <v>0</v>
      </c>
      <c r="R88">
        <f t="shared" si="10"/>
        <v>0</v>
      </c>
      <c r="S88">
        <f t="shared" si="11"/>
        <v>0.78943764253694737</v>
      </c>
      <c r="T88">
        <f t="shared" si="12"/>
        <v>-0.23643443189288391</v>
      </c>
    </row>
    <row r="89" spans="1:20" x14ac:dyDescent="0.3">
      <c r="A89">
        <v>53</v>
      </c>
      <c r="B89">
        <v>0</v>
      </c>
      <c r="C89">
        <v>4</v>
      </c>
      <c r="D89">
        <v>138</v>
      </c>
      <c r="E89">
        <v>234</v>
      </c>
      <c r="F89">
        <v>0</v>
      </c>
      <c r="G89">
        <v>2</v>
      </c>
      <c r="H89">
        <v>160</v>
      </c>
      <c r="I89">
        <v>0</v>
      </c>
      <c r="J89">
        <v>0</v>
      </c>
      <c r="K89">
        <v>1</v>
      </c>
      <c r="L89">
        <v>0</v>
      </c>
      <c r="M89">
        <v>3</v>
      </c>
      <c r="N89">
        <v>0</v>
      </c>
      <c r="O89">
        <f t="shared" si="7"/>
        <v>-2.3794420702953074</v>
      </c>
      <c r="P89">
        <f t="shared" si="8"/>
        <v>8.4753834659467245E-2</v>
      </c>
      <c r="Q89">
        <f t="shared" si="9"/>
        <v>0</v>
      </c>
      <c r="R89">
        <f t="shared" si="10"/>
        <v>0</v>
      </c>
      <c r="S89">
        <f t="shared" si="11"/>
        <v>0.91524616534053271</v>
      </c>
      <c r="T89">
        <f t="shared" si="12"/>
        <v>-8.856221673049447E-2</v>
      </c>
    </row>
    <row r="90" spans="1:20" x14ac:dyDescent="0.3">
      <c r="A90">
        <v>51</v>
      </c>
      <c r="B90">
        <v>0</v>
      </c>
      <c r="C90">
        <v>3</v>
      </c>
      <c r="D90">
        <v>130</v>
      </c>
      <c r="E90">
        <v>256</v>
      </c>
      <c r="F90">
        <v>0</v>
      </c>
      <c r="G90">
        <v>2</v>
      </c>
      <c r="H90">
        <v>149</v>
      </c>
      <c r="I90">
        <v>0</v>
      </c>
      <c r="J90">
        <v>0.5</v>
      </c>
      <c r="K90">
        <v>1</v>
      </c>
      <c r="L90">
        <v>0</v>
      </c>
      <c r="M90">
        <v>3</v>
      </c>
      <c r="N90">
        <v>0</v>
      </c>
      <c r="O90">
        <f t="shared" si="7"/>
        <v>-2.1799850654914321</v>
      </c>
      <c r="P90">
        <f t="shared" si="8"/>
        <v>0.1015622906244816</v>
      </c>
      <c r="Q90">
        <f t="shared" si="9"/>
        <v>0</v>
      </c>
      <c r="R90">
        <f t="shared" si="10"/>
        <v>0</v>
      </c>
      <c r="S90">
        <f t="shared" si="11"/>
        <v>0.89843770937551837</v>
      </c>
      <c r="T90">
        <f t="shared" si="12"/>
        <v>-0.10709790251233903</v>
      </c>
    </row>
    <row r="91" spans="1:20" x14ac:dyDescent="0.3">
      <c r="A91">
        <v>66</v>
      </c>
      <c r="B91">
        <v>1</v>
      </c>
      <c r="C91">
        <v>4</v>
      </c>
      <c r="D91">
        <v>120</v>
      </c>
      <c r="E91">
        <v>302</v>
      </c>
      <c r="F91">
        <v>0</v>
      </c>
      <c r="G91">
        <v>2</v>
      </c>
      <c r="H91">
        <v>151</v>
      </c>
      <c r="I91">
        <v>0</v>
      </c>
      <c r="J91">
        <v>0.4</v>
      </c>
      <c r="K91">
        <v>2</v>
      </c>
      <c r="L91">
        <v>0</v>
      </c>
      <c r="M91">
        <v>3</v>
      </c>
      <c r="N91">
        <v>0</v>
      </c>
      <c r="O91">
        <f t="shared" si="7"/>
        <v>-1.3513155821008294</v>
      </c>
      <c r="P91">
        <f t="shared" si="8"/>
        <v>0.20565537345277812</v>
      </c>
      <c r="Q91">
        <f t="shared" si="9"/>
        <v>0</v>
      </c>
      <c r="R91">
        <f t="shared" si="10"/>
        <v>0</v>
      </c>
      <c r="S91">
        <f t="shared" si="11"/>
        <v>0.79434462654722182</v>
      </c>
      <c r="T91">
        <f t="shared" si="12"/>
        <v>-0.23023787342988039</v>
      </c>
    </row>
    <row r="92" spans="1:20" x14ac:dyDescent="0.3">
      <c r="A92">
        <v>62</v>
      </c>
      <c r="B92">
        <v>0</v>
      </c>
      <c r="C92">
        <v>4</v>
      </c>
      <c r="D92">
        <v>160</v>
      </c>
      <c r="E92">
        <v>164</v>
      </c>
      <c r="F92">
        <v>0</v>
      </c>
      <c r="G92">
        <v>2</v>
      </c>
      <c r="H92">
        <v>145</v>
      </c>
      <c r="I92">
        <v>0</v>
      </c>
      <c r="J92">
        <v>6.2</v>
      </c>
      <c r="K92">
        <v>3</v>
      </c>
      <c r="L92">
        <v>3</v>
      </c>
      <c r="M92">
        <v>7</v>
      </c>
      <c r="N92">
        <v>1</v>
      </c>
      <c r="O92">
        <f t="shared" si="7"/>
        <v>5.3589495397558373</v>
      </c>
      <c r="P92">
        <f t="shared" si="8"/>
        <v>0.9953161944543033</v>
      </c>
      <c r="Q92">
        <f t="shared" si="9"/>
        <v>1</v>
      </c>
      <c r="R92">
        <f t="shared" si="10"/>
        <v>0</v>
      </c>
      <c r="S92">
        <f t="shared" si="11"/>
        <v>0.9953161944543033</v>
      </c>
      <c r="T92">
        <f t="shared" si="12"/>
        <v>-4.6948089348259709E-3</v>
      </c>
    </row>
    <row r="93" spans="1:20" x14ac:dyDescent="0.3">
      <c r="A93">
        <v>62</v>
      </c>
      <c r="B93">
        <v>1</v>
      </c>
      <c r="C93">
        <v>3</v>
      </c>
      <c r="D93">
        <v>130</v>
      </c>
      <c r="E93">
        <v>231</v>
      </c>
      <c r="F93">
        <v>0</v>
      </c>
      <c r="G93">
        <v>0</v>
      </c>
      <c r="H93">
        <v>146</v>
      </c>
      <c r="I93">
        <v>0</v>
      </c>
      <c r="J93">
        <v>1.8</v>
      </c>
      <c r="K93">
        <v>2</v>
      </c>
      <c r="L93">
        <v>3</v>
      </c>
      <c r="M93">
        <v>7</v>
      </c>
      <c r="N93">
        <v>0</v>
      </c>
      <c r="O93">
        <f t="shared" si="7"/>
        <v>3.5808454801390059</v>
      </c>
      <c r="P93">
        <f t="shared" si="8"/>
        <v>0.9729025812310832</v>
      </c>
      <c r="Q93">
        <f t="shared" si="9"/>
        <v>1</v>
      </c>
      <c r="R93">
        <f t="shared" si="10"/>
        <v>1</v>
      </c>
      <c r="S93">
        <f t="shared" si="11"/>
        <v>2.7097418768916803E-2</v>
      </c>
      <c r="T93">
        <f t="shared" si="12"/>
        <v>-3.6083168040123503</v>
      </c>
    </row>
    <row r="94" spans="1:20" x14ac:dyDescent="0.3">
      <c r="A94">
        <v>44</v>
      </c>
      <c r="B94">
        <v>0</v>
      </c>
      <c r="C94">
        <v>3</v>
      </c>
      <c r="D94">
        <v>108</v>
      </c>
      <c r="E94">
        <v>141</v>
      </c>
      <c r="F94">
        <v>0</v>
      </c>
      <c r="G94">
        <v>0</v>
      </c>
      <c r="H94">
        <v>175</v>
      </c>
      <c r="I94">
        <v>0</v>
      </c>
      <c r="J94">
        <v>0.6</v>
      </c>
      <c r="K94">
        <v>2</v>
      </c>
      <c r="L94">
        <v>0</v>
      </c>
      <c r="M94">
        <v>3</v>
      </c>
      <c r="N94">
        <v>0</v>
      </c>
      <c r="O94">
        <f t="shared" si="7"/>
        <v>-3.7244963712776213</v>
      </c>
      <c r="P94">
        <f t="shared" si="8"/>
        <v>2.3556930749824716E-2</v>
      </c>
      <c r="Q94">
        <f t="shared" si="9"/>
        <v>0</v>
      </c>
      <c r="R94">
        <f t="shared" si="10"/>
        <v>0</v>
      </c>
      <c r="S94">
        <f t="shared" si="11"/>
        <v>0.97644306925017532</v>
      </c>
      <c r="T94">
        <f t="shared" si="12"/>
        <v>-2.3838831184035129E-2</v>
      </c>
    </row>
    <row r="95" spans="1:20" x14ac:dyDescent="0.3">
      <c r="A95">
        <v>63</v>
      </c>
      <c r="B95">
        <v>0</v>
      </c>
      <c r="C95">
        <v>3</v>
      </c>
      <c r="D95">
        <v>135</v>
      </c>
      <c r="E95">
        <v>252</v>
      </c>
      <c r="F95">
        <v>0</v>
      </c>
      <c r="G95">
        <v>2</v>
      </c>
      <c r="H95">
        <v>172</v>
      </c>
      <c r="I95">
        <v>0</v>
      </c>
      <c r="J95">
        <v>0</v>
      </c>
      <c r="K95">
        <v>1</v>
      </c>
      <c r="L95">
        <v>0</v>
      </c>
      <c r="M95">
        <v>3</v>
      </c>
      <c r="N95">
        <v>0</v>
      </c>
      <c r="O95">
        <f t="shared" si="7"/>
        <v>-3.6649581544114458</v>
      </c>
      <c r="P95">
        <f t="shared" si="8"/>
        <v>2.4965982681256615E-2</v>
      </c>
      <c r="Q95">
        <f t="shared" si="9"/>
        <v>0</v>
      </c>
      <c r="R95">
        <f t="shared" si="10"/>
        <v>0</v>
      </c>
      <c r="S95">
        <f t="shared" si="11"/>
        <v>0.9750340173187434</v>
      </c>
      <c r="T95">
        <f t="shared" si="12"/>
        <v>-2.5282919035230802E-2</v>
      </c>
    </row>
    <row r="96" spans="1:20" x14ac:dyDescent="0.3">
      <c r="A96">
        <v>52</v>
      </c>
      <c r="B96">
        <v>1</v>
      </c>
      <c r="C96">
        <v>4</v>
      </c>
      <c r="D96">
        <v>128</v>
      </c>
      <c r="E96">
        <v>255</v>
      </c>
      <c r="F96">
        <v>0</v>
      </c>
      <c r="G96">
        <v>0</v>
      </c>
      <c r="H96">
        <v>161</v>
      </c>
      <c r="I96">
        <v>1</v>
      </c>
      <c r="J96">
        <v>0</v>
      </c>
      <c r="K96">
        <v>1</v>
      </c>
      <c r="L96">
        <v>1</v>
      </c>
      <c r="M96">
        <v>7</v>
      </c>
      <c r="N96">
        <v>1</v>
      </c>
      <c r="O96">
        <f t="shared" si="7"/>
        <v>1.4121529139872004</v>
      </c>
      <c r="P96">
        <f t="shared" si="8"/>
        <v>0.80410529262800723</v>
      </c>
      <c r="Q96">
        <f t="shared" si="9"/>
        <v>1</v>
      </c>
      <c r="R96">
        <f t="shared" si="10"/>
        <v>0</v>
      </c>
      <c r="S96">
        <f t="shared" si="11"/>
        <v>0.80410529262800723</v>
      </c>
      <c r="T96">
        <f t="shared" si="12"/>
        <v>-0.21802505739770273</v>
      </c>
    </row>
    <row r="97" spans="1:20" x14ac:dyDescent="0.3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  <c r="O97">
        <f t="shared" si="7"/>
        <v>2.6926286957529877</v>
      </c>
      <c r="P97">
        <f t="shared" si="8"/>
        <v>0.93659027637817394</v>
      </c>
      <c r="Q97">
        <f t="shared" si="9"/>
        <v>1</v>
      </c>
      <c r="R97">
        <f t="shared" si="10"/>
        <v>0</v>
      </c>
      <c r="S97">
        <f t="shared" si="11"/>
        <v>0.93659027637817394</v>
      </c>
      <c r="T97">
        <f t="shared" si="12"/>
        <v>-6.5509364116425023E-2</v>
      </c>
    </row>
    <row r="98" spans="1:20" x14ac:dyDescent="0.3">
      <c r="A98">
        <v>60</v>
      </c>
      <c r="B98">
        <v>0</v>
      </c>
      <c r="C98">
        <v>4</v>
      </c>
      <c r="D98">
        <v>150</v>
      </c>
      <c r="E98">
        <v>258</v>
      </c>
      <c r="F98">
        <v>0</v>
      </c>
      <c r="G98">
        <v>2</v>
      </c>
      <c r="H98">
        <v>157</v>
      </c>
      <c r="I98">
        <v>0</v>
      </c>
      <c r="J98">
        <v>2.6</v>
      </c>
      <c r="K98">
        <v>2</v>
      </c>
      <c r="L98">
        <v>2</v>
      </c>
      <c r="M98">
        <v>7</v>
      </c>
      <c r="N98">
        <v>1</v>
      </c>
      <c r="O98">
        <f t="shared" si="7"/>
        <v>2.5654649712855964</v>
      </c>
      <c r="P98">
        <f t="shared" si="8"/>
        <v>0.92860561989124935</v>
      </c>
      <c r="Q98">
        <f t="shared" si="9"/>
        <v>1</v>
      </c>
      <c r="R98">
        <f t="shared" si="10"/>
        <v>0</v>
      </c>
      <c r="S98">
        <f t="shared" si="11"/>
        <v>0.92860561989124935</v>
      </c>
      <c r="T98">
        <f t="shared" si="12"/>
        <v>-7.4071151410268321E-2</v>
      </c>
    </row>
    <row r="99" spans="1:20" x14ac:dyDescent="0.3">
      <c r="A99">
        <v>52</v>
      </c>
      <c r="B99">
        <v>1</v>
      </c>
      <c r="C99">
        <v>2</v>
      </c>
      <c r="D99">
        <v>134</v>
      </c>
      <c r="E99">
        <v>201</v>
      </c>
      <c r="F99">
        <v>0</v>
      </c>
      <c r="G99">
        <v>0</v>
      </c>
      <c r="H99">
        <v>158</v>
      </c>
      <c r="I99">
        <v>0</v>
      </c>
      <c r="J99">
        <v>0.8</v>
      </c>
      <c r="K99">
        <v>1</v>
      </c>
      <c r="L99">
        <v>1</v>
      </c>
      <c r="M99">
        <v>3</v>
      </c>
      <c r="N99">
        <v>0</v>
      </c>
      <c r="O99">
        <f t="shared" si="7"/>
        <v>-1.2997822053877015</v>
      </c>
      <c r="P99">
        <f t="shared" si="8"/>
        <v>0.21420167371590579</v>
      </c>
      <c r="Q99">
        <f t="shared" si="9"/>
        <v>0</v>
      </c>
      <c r="R99">
        <f t="shared" si="10"/>
        <v>0</v>
      </c>
      <c r="S99">
        <f t="shared" si="11"/>
        <v>0.78579832628409418</v>
      </c>
      <c r="T99">
        <f t="shared" si="12"/>
        <v>-0.24105510181156781</v>
      </c>
    </row>
    <row r="100" spans="1:20" x14ac:dyDescent="0.3">
      <c r="A100">
        <v>48</v>
      </c>
      <c r="B100">
        <v>1</v>
      </c>
      <c r="C100">
        <v>4</v>
      </c>
      <c r="D100">
        <v>122</v>
      </c>
      <c r="E100">
        <v>222</v>
      </c>
      <c r="F100">
        <v>0</v>
      </c>
      <c r="G100">
        <v>2</v>
      </c>
      <c r="H100">
        <v>186</v>
      </c>
      <c r="I100">
        <v>0</v>
      </c>
      <c r="J100">
        <v>0</v>
      </c>
      <c r="K100">
        <v>1</v>
      </c>
      <c r="L100">
        <v>0</v>
      </c>
      <c r="M100">
        <v>3</v>
      </c>
      <c r="N100">
        <v>0</v>
      </c>
      <c r="O100">
        <f t="shared" si="7"/>
        <v>-2.4622097203886355</v>
      </c>
      <c r="P100">
        <f t="shared" si="8"/>
        <v>7.8550248349378987E-2</v>
      </c>
      <c r="Q100">
        <f t="shared" si="9"/>
        <v>0</v>
      </c>
      <c r="R100">
        <f t="shared" si="10"/>
        <v>0</v>
      </c>
      <c r="S100">
        <f t="shared" si="11"/>
        <v>0.92144975165062104</v>
      </c>
      <c r="T100">
        <f t="shared" si="12"/>
        <v>-8.1807032224317136E-2</v>
      </c>
    </row>
    <row r="101" spans="1:20" x14ac:dyDescent="0.3">
      <c r="A101">
        <v>45</v>
      </c>
      <c r="B101">
        <v>1</v>
      </c>
      <c r="C101">
        <v>4</v>
      </c>
      <c r="D101">
        <v>115</v>
      </c>
      <c r="E101">
        <v>260</v>
      </c>
      <c r="F101">
        <v>0</v>
      </c>
      <c r="G101">
        <v>2</v>
      </c>
      <c r="H101">
        <v>185</v>
      </c>
      <c r="I101">
        <v>0</v>
      </c>
      <c r="J101">
        <v>0</v>
      </c>
      <c r="K101">
        <v>1</v>
      </c>
      <c r="L101">
        <v>0</v>
      </c>
      <c r="M101">
        <v>3</v>
      </c>
      <c r="N101">
        <v>0</v>
      </c>
      <c r="O101">
        <f t="shared" si="7"/>
        <v>-2.2978220322555645</v>
      </c>
      <c r="P101">
        <f t="shared" si="8"/>
        <v>9.1303500062817816E-2</v>
      </c>
      <c r="Q101">
        <f t="shared" si="9"/>
        <v>0</v>
      </c>
      <c r="R101">
        <f t="shared" si="10"/>
        <v>0</v>
      </c>
      <c r="S101">
        <f t="shared" si="11"/>
        <v>0.90869649993718216</v>
      </c>
      <c r="T101">
        <f t="shared" si="12"/>
        <v>-9.574412401359518E-2</v>
      </c>
    </row>
    <row r="102" spans="1:20" x14ac:dyDescent="0.3">
      <c r="A102">
        <v>34</v>
      </c>
      <c r="B102">
        <v>1</v>
      </c>
      <c r="C102">
        <v>1</v>
      </c>
      <c r="D102">
        <v>118</v>
      </c>
      <c r="E102">
        <v>182</v>
      </c>
      <c r="F102">
        <v>0</v>
      </c>
      <c r="G102">
        <v>2</v>
      </c>
      <c r="H102">
        <v>174</v>
      </c>
      <c r="I102">
        <v>0</v>
      </c>
      <c r="J102">
        <v>0</v>
      </c>
      <c r="K102">
        <v>1</v>
      </c>
      <c r="L102">
        <v>0</v>
      </c>
      <c r="M102">
        <v>3</v>
      </c>
      <c r="N102">
        <v>0</v>
      </c>
      <c r="O102">
        <f t="shared" si="7"/>
        <v>-2.682768623538875</v>
      </c>
      <c r="P102">
        <f t="shared" si="8"/>
        <v>6.3997829687146623E-2</v>
      </c>
      <c r="Q102">
        <f t="shared" si="9"/>
        <v>0</v>
      </c>
      <c r="R102">
        <f t="shared" si="10"/>
        <v>0</v>
      </c>
      <c r="S102">
        <f t="shared" si="11"/>
        <v>0.93600217031285338</v>
      </c>
      <c r="T102">
        <f t="shared" si="12"/>
        <v>-6.6137483796919777E-2</v>
      </c>
    </row>
    <row r="103" spans="1:20" x14ac:dyDescent="0.3">
      <c r="A103">
        <v>57</v>
      </c>
      <c r="B103">
        <v>0</v>
      </c>
      <c r="C103">
        <v>4</v>
      </c>
      <c r="D103">
        <v>128</v>
      </c>
      <c r="E103">
        <v>303</v>
      </c>
      <c r="F103">
        <v>0</v>
      </c>
      <c r="G103">
        <v>2</v>
      </c>
      <c r="H103">
        <v>159</v>
      </c>
      <c r="I103">
        <v>0</v>
      </c>
      <c r="J103">
        <v>0</v>
      </c>
      <c r="K103">
        <v>1</v>
      </c>
      <c r="L103">
        <v>1</v>
      </c>
      <c r="M103">
        <v>3</v>
      </c>
      <c r="N103">
        <v>0</v>
      </c>
      <c r="O103">
        <f t="shared" si="7"/>
        <v>-1.2418495064919868</v>
      </c>
      <c r="P103">
        <f t="shared" si="8"/>
        <v>0.22411421643999871</v>
      </c>
      <c r="Q103">
        <f t="shared" si="9"/>
        <v>0</v>
      </c>
      <c r="R103">
        <f t="shared" si="10"/>
        <v>0</v>
      </c>
      <c r="S103">
        <f t="shared" si="11"/>
        <v>0.77588578356000126</v>
      </c>
      <c r="T103">
        <f t="shared" si="12"/>
        <v>-0.25374995576587928</v>
      </c>
    </row>
    <row r="104" spans="1:20" x14ac:dyDescent="0.3">
      <c r="A104">
        <v>71</v>
      </c>
      <c r="B104">
        <v>0</v>
      </c>
      <c r="C104">
        <v>3</v>
      </c>
      <c r="D104">
        <v>110</v>
      </c>
      <c r="E104">
        <v>265</v>
      </c>
      <c r="F104">
        <v>1</v>
      </c>
      <c r="G104">
        <v>2</v>
      </c>
      <c r="H104">
        <v>130</v>
      </c>
      <c r="I104">
        <v>0</v>
      </c>
      <c r="J104">
        <v>0</v>
      </c>
      <c r="K104">
        <v>1</v>
      </c>
      <c r="L104">
        <v>1</v>
      </c>
      <c r="M104">
        <v>3</v>
      </c>
      <c r="N104">
        <v>0</v>
      </c>
      <c r="O104">
        <f t="shared" si="7"/>
        <v>-2.2612448136258858</v>
      </c>
      <c r="P104">
        <f t="shared" si="8"/>
        <v>9.4383914032954583E-2</v>
      </c>
      <c r="Q104">
        <f t="shared" si="9"/>
        <v>0</v>
      </c>
      <c r="R104">
        <f t="shared" si="10"/>
        <v>0</v>
      </c>
      <c r="S104">
        <f t="shared" si="11"/>
        <v>0.90561608596704546</v>
      </c>
      <c r="T104">
        <f t="shared" si="12"/>
        <v>-9.9139808918177197E-2</v>
      </c>
    </row>
    <row r="105" spans="1:20" x14ac:dyDescent="0.3">
      <c r="A105">
        <v>49</v>
      </c>
      <c r="B105">
        <v>1</v>
      </c>
      <c r="C105">
        <v>3</v>
      </c>
      <c r="D105">
        <v>120</v>
      </c>
      <c r="E105">
        <v>188</v>
      </c>
      <c r="F105">
        <v>0</v>
      </c>
      <c r="G105">
        <v>0</v>
      </c>
      <c r="H105">
        <v>139</v>
      </c>
      <c r="I105">
        <v>0</v>
      </c>
      <c r="J105">
        <v>2</v>
      </c>
      <c r="K105">
        <v>2</v>
      </c>
      <c r="L105">
        <v>3</v>
      </c>
      <c r="M105">
        <v>7</v>
      </c>
      <c r="N105">
        <v>1</v>
      </c>
      <c r="O105">
        <f t="shared" si="7"/>
        <v>4.2228499085315931</v>
      </c>
      <c r="P105">
        <f t="shared" si="8"/>
        <v>0.98555490473265828</v>
      </c>
      <c r="Q105">
        <f t="shared" si="9"/>
        <v>1</v>
      </c>
      <c r="R105">
        <f t="shared" si="10"/>
        <v>0</v>
      </c>
      <c r="S105">
        <f t="shared" si="11"/>
        <v>0.98555490473265828</v>
      </c>
      <c r="T105">
        <f t="shared" si="12"/>
        <v>-1.4550441376400878E-2</v>
      </c>
    </row>
    <row r="106" spans="1:20" x14ac:dyDescent="0.3">
      <c r="A106">
        <v>54</v>
      </c>
      <c r="B106">
        <v>1</v>
      </c>
      <c r="C106">
        <v>2</v>
      </c>
      <c r="D106">
        <v>108</v>
      </c>
      <c r="E106">
        <v>309</v>
      </c>
      <c r="F106">
        <v>0</v>
      </c>
      <c r="G106">
        <v>0</v>
      </c>
      <c r="H106">
        <v>156</v>
      </c>
      <c r="I106">
        <v>0</v>
      </c>
      <c r="J106">
        <v>0</v>
      </c>
      <c r="K106">
        <v>1</v>
      </c>
      <c r="L106">
        <v>0</v>
      </c>
      <c r="M106">
        <v>7</v>
      </c>
      <c r="N106">
        <v>0</v>
      </c>
      <c r="O106">
        <f t="shared" si="7"/>
        <v>-1.4901433869034775</v>
      </c>
      <c r="P106">
        <f t="shared" si="8"/>
        <v>0.18390020680563224</v>
      </c>
      <c r="Q106">
        <f t="shared" si="9"/>
        <v>0</v>
      </c>
      <c r="R106">
        <f t="shared" si="10"/>
        <v>0</v>
      </c>
      <c r="S106">
        <f t="shared" si="11"/>
        <v>0.81609979319436776</v>
      </c>
      <c r="T106">
        <f t="shared" si="12"/>
        <v>-0.20321863591419198</v>
      </c>
    </row>
    <row r="107" spans="1:20" x14ac:dyDescent="0.3">
      <c r="A107">
        <v>59</v>
      </c>
      <c r="B107">
        <v>1</v>
      </c>
      <c r="C107">
        <v>4</v>
      </c>
      <c r="D107">
        <v>140</v>
      </c>
      <c r="E107">
        <v>177</v>
      </c>
      <c r="F107">
        <v>0</v>
      </c>
      <c r="G107">
        <v>0</v>
      </c>
      <c r="H107">
        <v>162</v>
      </c>
      <c r="I107">
        <v>1</v>
      </c>
      <c r="J107">
        <v>0</v>
      </c>
      <c r="K107">
        <v>1</v>
      </c>
      <c r="L107">
        <v>1</v>
      </c>
      <c r="M107">
        <v>7</v>
      </c>
      <c r="N107">
        <v>1</v>
      </c>
      <c r="O107">
        <f t="shared" si="7"/>
        <v>1.0417237016745053</v>
      </c>
      <c r="P107">
        <f t="shared" si="8"/>
        <v>0.73918245853011078</v>
      </c>
      <c r="Q107">
        <f t="shared" si="9"/>
        <v>1</v>
      </c>
      <c r="R107">
        <f t="shared" si="10"/>
        <v>0</v>
      </c>
      <c r="S107">
        <f t="shared" si="11"/>
        <v>0.73918245853011078</v>
      </c>
      <c r="T107">
        <f t="shared" si="12"/>
        <v>-0.30221048927969657</v>
      </c>
    </row>
    <row r="108" spans="1:20" x14ac:dyDescent="0.3">
      <c r="A108">
        <v>57</v>
      </c>
      <c r="B108">
        <v>1</v>
      </c>
      <c r="C108">
        <v>3</v>
      </c>
      <c r="D108">
        <v>128</v>
      </c>
      <c r="E108">
        <v>229</v>
      </c>
      <c r="F108">
        <v>0</v>
      </c>
      <c r="G108">
        <v>2</v>
      </c>
      <c r="H108">
        <v>150</v>
      </c>
      <c r="I108">
        <v>0</v>
      </c>
      <c r="J108">
        <v>0.4</v>
      </c>
      <c r="K108">
        <v>2</v>
      </c>
      <c r="L108">
        <v>1</v>
      </c>
      <c r="M108">
        <v>7</v>
      </c>
      <c r="N108">
        <v>1</v>
      </c>
      <c r="O108">
        <f t="shared" si="7"/>
        <v>1.2972088766481544</v>
      </c>
      <c r="P108">
        <f t="shared" si="8"/>
        <v>0.78536486679912587</v>
      </c>
      <c r="Q108">
        <f t="shared" si="9"/>
        <v>1</v>
      </c>
      <c r="R108">
        <f t="shared" si="10"/>
        <v>0</v>
      </c>
      <c r="S108">
        <f t="shared" si="11"/>
        <v>0.78536486679912587</v>
      </c>
      <c r="T108">
        <f t="shared" si="12"/>
        <v>-0.2416068707148539</v>
      </c>
    </row>
    <row r="109" spans="1:20" x14ac:dyDescent="0.3">
      <c r="A109">
        <v>61</v>
      </c>
      <c r="B109">
        <v>1</v>
      </c>
      <c r="C109">
        <v>4</v>
      </c>
      <c r="D109">
        <v>120</v>
      </c>
      <c r="E109">
        <v>260</v>
      </c>
      <c r="F109">
        <v>0</v>
      </c>
      <c r="G109">
        <v>0</v>
      </c>
      <c r="H109">
        <v>140</v>
      </c>
      <c r="I109">
        <v>1</v>
      </c>
      <c r="J109">
        <v>3.6</v>
      </c>
      <c r="K109">
        <v>2</v>
      </c>
      <c r="L109">
        <v>1</v>
      </c>
      <c r="M109">
        <v>7</v>
      </c>
      <c r="N109">
        <v>1</v>
      </c>
      <c r="O109">
        <f t="shared" si="7"/>
        <v>2.9678455838817879</v>
      </c>
      <c r="P109">
        <f t="shared" si="8"/>
        <v>0.95110017537850144</v>
      </c>
      <c r="Q109">
        <f t="shared" si="9"/>
        <v>1</v>
      </c>
      <c r="R109">
        <f t="shared" si="10"/>
        <v>0</v>
      </c>
      <c r="S109">
        <f t="shared" si="11"/>
        <v>0.95110017537850144</v>
      </c>
      <c r="T109">
        <f t="shared" si="12"/>
        <v>-5.0135885098375854E-2</v>
      </c>
    </row>
    <row r="110" spans="1:20" x14ac:dyDescent="0.3">
      <c r="A110">
        <v>39</v>
      </c>
      <c r="B110">
        <v>1</v>
      </c>
      <c r="C110">
        <v>4</v>
      </c>
      <c r="D110">
        <v>118</v>
      </c>
      <c r="E110">
        <v>219</v>
      </c>
      <c r="F110">
        <v>0</v>
      </c>
      <c r="G110">
        <v>0</v>
      </c>
      <c r="H110">
        <v>140</v>
      </c>
      <c r="I110">
        <v>0</v>
      </c>
      <c r="J110">
        <v>1.2</v>
      </c>
      <c r="K110">
        <v>2</v>
      </c>
      <c r="L110">
        <v>0</v>
      </c>
      <c r="M110">
        <v>7</v>
      </c>
      <c r="N110">
        <v>1</v>
      </c>
      <c r="O110">
        <f t="shared" si="7"/>
        <v>1.0913161089839849</v>
      </c>
      <c r="P110">
        <f t="shared" si="8"/>
        <v>0.74862947248538469</v>
      </c>
      <c r="Q110">
        <f t="shared" si="9"/>
        <v>1</v>
      </c>
      <c r="R110">
        <f t="shared" si="10"/>
        <v>0</v>
      </c>
      <c r="S110">
        <f t="shared" si="11"/>
        <v>0.74862947248538469</v>
      </c>
      <c r="T110">
        <f t="shared" si="12"/>
        <v>-0.28951111414868796</v>
      </c>
    </row>
    <row r="111" spans="1:20" x14ac:dyDescent="0.3">
      <c r="A111">
        <v>61</v>
      </c>
      <c r="B111">
        <v>0</v>
      </c>
      <c r="C111">
        <v>4</v>
      </c>
      <c r="D111">
        <v>145</v>
      </c>
      <c r="E111">
        <v>307</v>
      </c>
      <c r="F111">
        <v>0</v>
      </c>
      <c r="G111">
        <v>2</v>
      </c>
      <c r="H111">
        <v>146</v>
      </c>
      <c r="I111">
        <v>1</v>
      </c>
      <c r="J111">
        <v>1</v>
      </c>
      <c r="K111">
        <v>2</v>
      </c>
      <c r="L111">
        <v>0</v>
      </c>
      <c r="M111">
        <v>7</v>
      </c>
      <c r="N111">
        <v>1</v>
      </c>
      <c r="O111">
        <f t="shared" si="7"/>
        <v>0.88613157654575314</v>
      </c>
      <c r="P111">
        <f t="shared" si="8"/>
        <v>0.70809122114620993</v>
      </c>
      <c r="Q111">
        <f t="shared" si="9"/>
        <v>1</v>
      </c>
      <c r="R111">
        <f t="shared" si="10"/>
        <v>0</v>
      </c>
      <c r="S111">
        <f t="shared" si="11"/>
        <v>0.70809122114620993</v>
      </c>
      <c r="T111">
        <f t="shared" si="12"/>
        <v>-0.34518235016116855</v>
      </c>
    </row>
    <row r="112" spans="1:20" x14ac:dyDescent="0.3">
      <c r="A112">
        <v>56</v>
      </c>
      <c r="B112">
        <v>1</v>
      </c>
      <c r="C112">
        <v>4</v>
      </c>
      <c r="D112">
        <v>125</v>
      </c>
      <c r="E112">
        <v>249</v>
      </c>
      <c r="F112">
        <v>1</v>
      </c>
      <c r="G112">
        <v>2</v>
      </c>
      <c r="H112">
        <v>144</v>
      </c>
      <c r="I112">
        <v>1</v>
      </c>
      <c r="J112">
        <v>1.2</v>
      </c>
      <c r="K112">
        <v>2</v>
      </c>
      <c r="L112">
        <v>1</v>
      </c>
      <c r="M112">
        <v>3</v>
      </c>
      <c r="N112">
        <v>1</v>
      </c>
      <c r="O112">
        <f t="shared" si="7"/>
        <v>0.84418436129707386</v>
      </c>
      <c r="P112">
        <f t="shared" si="8"/>
        <v>0.69934575832341117</v>
      </c>
      <c r="Q112">
        <f t="shared" si="9"/>
        <v>1</v>
      </c>
      <c r="R112">
        <f t="shared" si="10"/>
        <v>0</v>
      </c>
      <c r="S112">
        <f t="shared" si="11"/>
        <v>0.69934575832341117</v>
      </c>
      <c r="T112">
        <f t="shared" si="12"/>
        <v>-0.35761001194514486</v>
      </c>
    </row>
    <row r="113" spans="1:20" x14ac:dyDescent="0.3">
      <c r="A113">
        <v>52</v>
      </c>
      <c r="B113">
        <v>1</v>
      </c>
      <c r="C113">
        <v>1</v>
      </c>
      <c r="D113">
        <v>118</v>
      </c>
      <c r="E113">
        <v>186</v>
      </c>
      <c r="F113">
        <v>0</v>
      </c>
      <c r="G113">
        <v>2</v>
      </c>
      <c r="H113">
        <v>190</v>
      </c>
      <c r="I113">
        <v>0</v>
      </c>
      <c r="J113">
        <v>0</v>
      </c>
      <c r="K113">
        <v>2</v>
      </c>
      <c r="L113">
        <v>0</v>
      </c>
      <c r="M113">
        <v>6</v>
      </c>
      <c r="N113">
        <v>0</v>
      </c>
      <c r="O113">
        <f t="shared" si="7"/>
        <v>-2.7405369947040779</v>
      </c>
      <c r="P113">
        <f t="shared" si="8"/>
        <v>6.0623315255721871E-2</v>
      </c>
      <c r="Q113">
        <f t="shared" si="9"/>
        <v>0</v>
      </c>
      <c r="R113">
        <f t="shared" si="10"/>
        <v>0</v>
      </c>
      <c r="S113">
        <f t="shared" si="11"/>
        <v>0.93937668474427816</v>
      </c>
      <c r="T113">
        <f t="shared" si="12"/>
        <v>-6.2538725002890247E-2</v>
      </c>
    </row>
    <row r="114" spans="1:20" x14ac:dyDescent="0.3">
      <c r="A114">
        <v>43</v>
      </c>
      <c r="B114">
        <v>0</v>
      </c>
      <c r="C114">
        <v>4</v>
      </c>
      <c r="D114">
        <v>132</v>
      </c>
      <c r="E114">
        <v>341</v>
      </c>
      <c r="F114">
        <v>1</v>
      </c>
      <c r="G114">
        <v>2</v>
      </c>
      <c r="H114">
        <v>136</v>
      </c>
      <c r="I114">
        <v>1</v>
      </c>
      <c r="J114">
        <v>3</v>
      </c>
      <c r="K114">
        <v>2</v>
      </c>
      <c r="L114">
        <v>0</v>
      </c>
      <c r="M114">
        <v>7</v>
      </c>
      <c r="N114">
        <v>1</v>
      </c>
      <c r="O114">
        <f t="shared" si="7"/>
        <v>1.7485134553571942</v>
      </c>
      <c r="P114">
        <f t="shared" si="8"/>
        <v>0.85176520713044424</v>
      </c>
      <c r="Q114">
        <f t="shared" si="9"/>
        <v>1</v>
      </c>
      <c r="R114">
        <f t="shared" si="10"/>
        <v>0</v>
      </c>
      <c r="S114">
        <f t="shared" si="11"/>
        <v>0.85176520713044424</v>
      </c>
      <c r="T114">
        <f t="shared" si="12"/>
        <v>-0.16044436861694378</v>
      </c>
    </row>
    <row r="115" spans="1:20" x14ac:dyDescent="0.3">
      <c r="A115">
        <v>62</v>
      </c>
      <c r="B115">
        <v>0</v>
      </c>
      <c r="C115">
        <v>3</v>
      </c>
      <c r="D115">
        <v>130</v>
      </c>
      <c r="E115">
        <v>263</v>
      </c>
      <c r="F115">
        <v>0</v>
      </c>
      <c r="G115">
        <v>0</v>
      </c>
      <c r="H115">
        <v>97</v>
      </c>
      <c r="I115">
        <v>0</v>
      </c>
      <c r="J115">
        <v>1.2</v>
      </c>
      <c r="K115">
        <v>2</v>
      </c>
      <c r="L115">
        <v>1</v>
      </c>
      <c r="M115">
        <v>7</v>
      </c>
      <c r="N115">
        <v>1</v>
      </c>
      <c r="O115">
        <f t="shared" si="7"/>
        <v>1.9121176850450032</v>
      </c>
      <c r="P115">
        <f t="shared" si="8"/>
        <v>0.87125687187050416</v>
      </c>
      <c r="Q115">
        <f t="shared" si="9"/>
        <v>1</v>
      </c>
      <c r="R115">
        <f t="shared" si="10"/>
        <v>0</v>
      </c>
      <c r="S115">
        <f t="shared" si="11"/>
        <v>0.87125687187050416</v>
      </c>
      <c r="T115">
        <f t="shared" si="12"/>
        <v>-0.13781842956920679</v>
      </c>
    </row>
    <row r="116" spans="1:20" x14ac:dyDescent="0.3">
      <c r="A116">
        <v>41</v>
      </c>
      <c r="B116">
        <v>1</v>
      </c>
      <c r="C116">
        <v>2</v>
      </c>
      <c r="D116">
        <v>135</v>
      </c>
      <c r="E116">
        <v>203</v>
      </c>
      <c r="F116">
        <v>0</v>
      </c>
      <c r="G116">
        <v>0</v>
      </c>
      <c r="H116">
        <v>132</v>
      </c>
      <c r="I116">
        <v>0</v>
      </c>
      <c r="J116">
        <v>0</v>
      </c>
      <c r="K116">
        <v>2</v>
      </c>
      <c r="L116">
        <v>0</v>
      </c>
      <c r="M116">
        <v>6</v>
      </c>
      <c r="N116">
        <v>0</v>
      </c>
      <c r="O116">
        <f t="shared" si="7"/>
        <v>8.7240690126767717E-2</v>
      </c>
      <c r="P116">
        <f t="shared" si="8"/>
        <v>0.52179635006252478</v>
      </c>
      <c r="Q116">
        <f t="shared" si="9"/>
        <v>1</v>
      </c>
      <c r="R116">
        <f t="shared" si="10"/>
        <v>1</v>
      </c>
      <c r="S116">
        <f t="shared" si="11"/>
        <v>0.47820364993747522</v>
      </c>
      <c r="T116">
        <f t="shared" si="12"/>
        <v>-0.73771859132816375</v>
      </c>
    </row>
    <row r="117" spans="1:20" x14ac:dyDescent="0.3">
      <c r="A117">
        <v>58</v>
      </c>
      <c r="B117">
        <v>1</v>
      </c>
      <c r="C117">
        <v>3</v>
      </c>
      <c r="D117">
        <v>140</v>
      </c>
      <c r="E117">
        <v>211</v>
      </c>
      <c r="F117">
        <v>1</v>
      </c>
      <c r="G117">
        <v>2</v>
      </c>
      <c r="H117">
        <v>165</v>
      </c>
      <c r="I117">
        <v>0</v>
      </c>
      <c r="J117">
        <v>0</v>
      </c>
      <c r="K117">
        <v>1</v>
      </c>
      <c r="L117">
        <v>0</v>
      </c>
      <c r="M117">
        <v>3</v>
      </c>
      <c r="N117">
        <v>0</v>
      </c>
      <c r="O117">
        <f t="shared" si="7"/>
        <v>-2.9984062502184745</v>
      </c>
      <c r="P117">
        <f t="shared" si="8"/>
        <v>4.749792542445077E-2</v>
      </c>
      <c r="Q117">
        <f t="shared" si="9"/>
        <v>0</v>
      </c>
      <c r="R117">
        <f t="shared" si="10"/>
        <v>0</v>
      </c>
      <c r="S117">
        <f t="shared" si="11"/>
        <v>0.95250207457554925</v>
      </c>
      <c r="T117">
        <f t="shared" si="12"/>
        <v>-4.8662993951580226E-2</v>
      </c>
    </row>
    <row r="118" spans="1:20" x14ac:dyDescent="0.3">
      <c r="A118">
        <v>35</v>
      </c>
      <c r="B118">
        <v>0</v>
      </c>
      <c r="C118">
        <v>4</v>
      </c>
      <c r="D118">
        <v>138</v>
      </c>
      <c r="E118">
        <v>183</v>
      </c>
      <c r="F118">
        <v>0</v>
      </c>
      <c r="G118">
        <v>0</v>
      </c>
      <c r="H118">
        <v>182</v>
      </c>
      <c r="I118">
        <v>0</v>
      </c>
      <c r="J118">
        <v>1.4</v>
      </c>
      <c r="K118">
        <v>1</v>
      </c>
      <c r="L118">
        <v>0</v>
      </c>
      <c r="M118">
        <v>3</v>
      </c>
      <c r="N118">
        <v>0</v>
      </c>
      <c r="O118">
        <f t="shared" si="7"/>
        <v>-2.7309632186436019</v>
      </c>
      <c r="P118">
        <f t="shared" si="8"/>
        <v>6.117082279416082E-2</v>
      </c>
      <c r="Q118">
        <f t="shared" si="9"/>
        <v>0</v>
      </c>
      <c r="R118">
        <f t="shared" si="10"/>
        <v>0</v>
      </c>
      <c r="S118">
        <f t="shared" si="11"/>
        <v>0.93882917720583914</v>
      </c>
      <c r="T118">
        <f t="shared" si="12"/>
        <v>-6.3121736231892378E-2</v>
      </c>
    </row>
    <row r="119" spans="1:20" x14ac:dyDescent="0.3">
      <c r="A119">
        <v>63</v>
      </c>
      <c r="B119">
        <v>1</v>
      </c>
      <c r="C119">
        <v>4</v>
      </c>
      <c r="D119">
        <v>130</v>
      </c>
      <c r="E119">
        <v>330</v>
      </c>
      <c r="F119">
        <v>1</v>
      </c>
      <c r="G119">
        <v>2</v>
      </c>
      <c r="H119">
        <v>132</v>
      </c>
      <c r="I119">
        <v>1</v>
      </c>
      <c r="J119">
        <v>1.8</v>
      </c>
      <c r="K119">
        <v>1</v>
      </c>
      <c r="L119">
        <v>3</v>
      </c>
      <c r="M119">
        <v>7</v>
      </c>
      <c r="N119">
        <v>1</v>
      </c>
      <c r="O119">
        <f t="shared" si="7"/>
        <v>5.045636591302479</v>
      </c>
      <c r="P119">
        <f t="shared" si="8"/>
        <v>0.99360381347116555</v>
      </c>
      <c r="Q119">
        <f t="shared" si="9"/>
        <v>1</v>
      </c>
      <c r="R119">
        <f t="shared" si="10"/>
        <v>0</v>
      </c>
      <c r="S119">
        <f t="shared" si="11"/>
        <v>0.99360381347116555</v>
      </c>
      <c r="T119">
        <f t="shared" si="12"/>
        <v>-6.4167297757010593E-3</v>
      </c>
    </row>
    <row r="120" spans="1:20" x14ac:dyDescent="0.3">
      <c r="A120">
        <v>65</v>
      </c>
      <c r="B120">
        <v>1</v>
      </c>
      <c r="C120">
        <v>4</v>
      </c>
      <c r="D120">
        <v>135</v>
      </c>
      <c r="E120">
        <v>254</v>
      </c>
      <c r="F120">
        <v>0</v>
      </c>
      <c r="G120">
        <v>2</v>
      </c>
      <c r="H120">
        <v>127</v>
      </c>
      <c r="I120">
        <v>0</v>
      </c>
      <c r="J120">
        <v>2.8</v>
      </c>
      <c r="K120">
        <v>2</v>
      </c>
      <c r="L120">
        <v>1</v>
      </c>
      <c r="M120">
        <v>7</v>
      </c>
      <c r="N120">
        <v>1</v>
      </c>
      <c r="O120">
        <f t="shared" si="7"/>
        <v>3.0137018520479524</v>
      </c>
      <c r="P120">
        <f t="shared" si="8"/>
        <v>0.95318930631375931</v>
      </c>
      <c r="Q120">
        <f t="shared" si="9"/>
        <v>1</v>
      </c>
      <c r="R120">
        <f t="shared" si="10"/>
        <v>0</v>
      </c>
      <c r="S120">
        <f t="shared" si="11"/>
        <v>0.95318930631375931</v>
      </c>
      <c r="T120">
        <f t="shared" si="12"/>
        <v>-4.7941752542931745E-2</v>
      </c>
    </row>
    <row r="121" spans="1:20" x14ac:dyDescent="0.3">
      <c r="A121">
        <v>48</v>
      </c>
      <c r="B121">
        <v>1</v>
      </c>
      <c r="C121">
        <v>4</v>
      </c>
      <c r="D121">
        <v>130</v>
      </c>
      <c r="E121">
        <v>256</v>
      </c>
      <c r="F121">
        <v>1</v>
      </c>
      <c r="G121">
        <v>2</v>
      </c>
      <c r="H121">
        <v>150</v>
      </c>
      <c r="I121">
        <v>1</v>
      </c>
      <c r="J121">
        <v>0</v>
      </c>
      <c r="K121">
        <v>1</v>
      </c>
      <c r="L121">
        <v>2</v>
      </c>
      <c r="M121">
        <v>7</v>
      </c>
      <c r="N121">
        <v>1</v>
      </c>
      <c r="O121">
        <f t="shared" si="7"/>
        <v>3.1031535782383459</v>
      </c>
      <c r="P121">
        <f t="shared" si="8"/>
        <v>0.9570226398030961</v>
      </c>
      <c r="Q121">
        <f t="shared" si="9"/>
        <v>1</v>
      </c>
      <c r="R121">
        <f t="shared" si="10"/>
        <v>0</v>
      </c>
      <c r="S121">
        <f t="shared" si="11"/>
        <v>0.9570226398030961</v>
      </c>
      <c r="T121">
        <f t="shared" si="12"/>
        <v>-4.3928230752479792E-2</v>
      </c>
    </row>
    <row r="122" spans="1:20" x14ac:dyDescent="0.3">
      <c r="A122">
        <v>63</v>
      </c>
      <c r="B122">
        <v>0</v>
      </c>
      <c r="C122">
        <v>4</v>
      </c>
      <c r="D122">
        <v>150</v>
      </c>
      <c r="E122">
        <v>407</v>
      </c>
      <c r="F122">
        <v>0</v>
      </c>
      <c r="G122">
        <v>2</v>
      </c>
      <c r="H122">
        <v>154</v>
      </c>
      <c r="I122">
        <v>0</v>
      </c>
      <c r="J122">
        <v>4</v>
      </c>
      <c r="K122">
        <v>2</v>
      </c>
      <c r="L122">
        <v>3</v>
      </c>
      <c r="M122">
        <v>7</v>
      </c>
      <c r="N122">
        <v>1</v>
      </c>
      <c r="O122">
        <f t="shared" si="7"/>
        <v>4.5554806956016183</v>
      </c>
      <c r="P122">
        <f t="shared" si="8"/>
        <v>0.98959985262672046</v>
      </c>
      <c r="Q122">
        <f t="shared" si="9"/>
        <v>1</v>
      </c>
      <c r="R122">
        <f t="shared" si="10"/>
        <v>0</v>
      </c>
      <c r="S122">
        <f t="shared" si="11"/>
        <v>0.98959985262672046</v>
      </c>
      <c r="T122">
        <f t="shared" si="12"/>
        <v>-1.045460682593906E-2</v>
      </c>
    </row>
    <row r="123" spans="1:20" x14ac:dyDescent="0.3">
      <c r="A123">
        <v>51</v>
      </c>
      <c r="B123">
        <v>1</v>
      </c>
      <c r="C123">
        <v>3</v>
      </c>
      <c r="D123">
        <v>100</v>
      </c>
      <c r="E123">
        <v>222</v>
      </c>
      <c r="F123">
        <v>0</v>
      </c>
      <c r="G123">
        <v>0</v>
      </c>
      <c r="H123">
        <v>143</v>
      </c>
      <c r="I123">
        <v>1</v>
      </c>
      <c r="J123">
        <v>1.2</v>
      </c>
      <c r="K123">
        <v>2</v>
      </c>
      <c r="L123">
        <v>0</v>
      </c>
      <c r="M123">
        <v>3</v>
      </c>
      <c r="N123">
        <v>0</v>
      </c>
      <c r="O123">
        <f t="shared" si="7"/>
        <v>-0.77892745374270778</v>
      </c>
      <c r="P123">
        <f t="shared" si="8"/>
        <v>0.31455109035873802</v>
      </c>
      <c r="Q123">
        <f t="shared" si="9"/>
        <v>0</v>
      </c>
      <c r="R123">
        <f t="shared" si="10"/>
        <v>0</v>
      </c>
      <c r="S123">
        <f t="shared" si="11"/>
        <v>0.68544890964126193</v>
      </c>
      <c r="T123">
        <f t="shared" si="12"/>
        <v>-0.37768131282107581</v>
      </c>
    </row>
    <row r="124" spans="1:20" x14ac:dyDescent="0.3">
      <c r="A124">
        <v>55</v>
      </c>
      <c r="B124">
        <v>1</v>
      </c>
      <c r="C124">
        <v>4</v>
      </c>
      <c r="D124">
        <v>140</v>
      </c>
      <c r="E124">
        <v>217</v>
      </c>
      <c r="F124">
        <v>0</v>
      </c>
      <c r="G124">
        <v>0</v>
      </c>
      <c r="H124">
        <v>111</v>
      </c>
      <c r="I124">
        <v>1</v>
      </c>
      <c r="J124">
        <v>5.6</v>
      </c>
      <c r="K124">
        <v>3</v>
      </c>
      <c r="L124">
        <v>0</v>
      </c>
      <c r="M124">
        <v>7</v>
      </c>
      <c r="N124">
        <v>1</v>
      </c>
      <c r="O124">
        <f t="shared" si="7"/>
        <v>4.1160253568338376</v>
      </c>
      <c r="P124">
        <f t="shared" si="8"/>
        <v>0.98395251275053242</v>
      </c>
      <c r="Q124">
        <f t="shared" si="9"/>
        <v>1</v>
      </c>
      <c r="R124">
        <f t="shared" si="10"/>
        <v>0</v>
      </c>
      <c r="S124">
        <f t="shared" si="11"/>
        <v>0.98395251275053242</v>
      </c>
      <c r="T124">
        <f t="shared" si="12"/>
        <v>-1.6177642494271362E-2</v>
      </c>
    </row>
    <row r="125" spans="1:20" x14ac:dyDescent="0.3">
      <c r="A125">
        <v>65</v>
      </c>
      <c r="B125">
        <v>1</v>
      </c>
      <c r="C125">
        <v>1</v>
      </c>
      <c r="D125">
        <v>138</v>
      </c>
      <c r="E125">
        <v>282</v>
      </c>
      <c r="F125">
        <v>1</v>
      </c>
      <c r="G125">
        <v>2</v>
      </c>
      <c r="H125">
        <v>174</v>
      </c>
      <c r="I125">
        <v>0</v>
      </c>
      <c r="J125">
        <v>1.4</v>
      </c>
      <c r="K125">
        <v>2</v>
      </c>
      <c r="L125">
        <v>1</v>
      </c>
      <c r="M125">
        <v>3</v>
      </c>
      <c r="N125">
        <v>1</v>
      </c>
      <c r="O125">
        <f t="shared" si="7"/>
        <v>-2.3418884733281184</v>
      </c>
      <c r="P125">
        <f t="shared" si="8"/>
        <v>8.7712683061102997E-2</v>
      </c>
      <c r="Q125">
        <f t="shared" si="9"/>
        <v>0</v>
      </c>
      <c r="R125">
        <f t="shared" si="10"/>
        <v>1</v>
      </c>
      <c r="S125">
        <f t="shared" si="11"/>
        <v>8.7712683061102997E-2</v>
      </c>
      <c r="T125">
        <f t="shared" si="12"/>
        <v>-2.4336887713475868</v>
      </c>
    </row>
    <row r="126" spans="1:20" x14ac:dyDescent="0.3">
      <c r="A126">
        <v>45</v>
      </c>
      <c r="B126">
        <v>0</v>
      </c>
      <c r="C126">
        <v>2</v>
      </c>
      <c r="D126">
        <v>130</v>
      </c>
      <c r="E126">
        <v>234</v>
      </c>
      <c r="F126">
        <v>0</v>
      </c>
      <c r="G126">
        <v>2</v>
      </c>
      <c r="H126">
        <v>175</v>
      </c>
      <c r="I126">
        <v>0</v>
      </c>
      <c r="J126">
        <v>0.6</v>
      </c>
      <c r="K126">
        <v>2</v>
      </c>
      <c r="L126">
        <v>0</v>
      </c>
      <c r="M126">
        <v>3</v>
      </c>
      <c r="N126">
        <v>0</v>
      </c>
      <c r="O126">
        <f t="shared" si="7"/>
        <v>-3.0205183843056753</v>
      </c>
      <c r="P126">
        <f t="shared" si="8"/>
        <v>4.6507481598616049E-2</v>
      </c>
      <c r="Q126">
        <f t="shared" si="9"/>
        <v>0</v>
      </c>
      <c r="R126">
        <f t="shared" si="10"/>
        <v>0</v>
      </c>
      <c r="S126">
        <f t="shared" si="11"/>
        <v>0.95349251840138394</v>
      </c>
      <c r="T126">
        <f t="shared" si="12"/>
        <v>-4.7623700431404507E-2</v>
      </c>
    </row>
    <row r="127" spans="1:20" x14ac:dyDescent="0.3">
      <c r="A127">
        <v>56</v>
      </c>
      <c r="B127">
        <v>0</v>
      </c>
      <c r="C127">
        <v>4</v>
      </c>
      <c r="D127">
        <v>200</v>
      </c>
      <c r="E127">
        <v>288</v>
      </c>
      <c r="F127">
        <v>1</v>
      </c>
      <c r="G127">
        <v>2</v>
      </c>
      <c r="H127">
        <v>133</v>
      </c>
      <c r="I127">
        <v>1</v>
      </c>
      <c r="J127">
        <v>4</v>
      </c>
      <c r="K127">
        <v>3</v>
      </c>
      <c r="L127">
        <v>2</v>
      </c>
      <c r="M127">
        <v>7</v>
      </c>
      <c r="N127">
        <v>1</v>
      </c>
      <c r="O127">
        <f t="shared" si="7"/>
        <v>5.2362083700679705</v>
      </c>
      <c r="P127">
        <f t="shared" si="8"/>
        <v>0.99470776516574211</v>
      </c>
      <c r="Q127">
        <f t="shared" si="9"/>
        <v>1</v>
      </c>
      <c r="R127">
        <f t="shared" si="10"/>
        <v>0</v>
      </c>
      <c r="S127">
        <f t="shared" si="11"/>
        <v>0.99470776516574211</v>
      </c>
      <c r="T127">
        <f t="shared" si="12"/>
        <v>-5.3062883138334099E-3</v>
      </c>
    </row>
    <row r="128" spans="1:20" x14ac:dyDescent="0.3">
      <c r="A128">
        <v>54</v>
      </c>
      <c r="B128">
        <v>1</v>
      </c>
      <c r="C128">
        <v>4</v>
      </c>
      <c r="D128">
        <v>110</v>
      </c>
      <c r="E128">
        <v>239</v>
      </c>
      <c r="F128">
        <v>0</v>
      </c>
      <c r="G128">
        <v>0</v>
      </c>
      <c r="H128">
        <v>126</v>
      </c>
      <c r="I128">
        <v>1</v>
      </c>
      <c r="J128">
        <v>2.8</v>
      </c>
      <c r="K128">
        <v>2</v>
      </c>
      <c r="L128">
        <v>1</v>
      </c>
      <c r="M128">
        <v>7</v>
      </c>
      <c r="N128">
        <v>1</v>
      </c>
      <c r="O128">
        <f t="shared" si="7"/>
        <v>3.3968527693950104</v>
      </c>
      <c r="P128">
        <f t="shared" si="8"/>
        <v>0.96760603166536663</v>
      </c>
      <c r="Q128">
        <f t="shared" si="9"/>
        <v>1</v>
      </c>
      <c r="R128">
        <f t="shared" si="10"/>
        <v>0</v>
      </c>
      <c r="S128">
        <f t="shared" si="11"/>
        <v>0.96760603166536663</v>
      </c>
      <c r="T128">
        <f t="shared" si="12"/>
        <v>-3.2930266630548551E-2</v>
      </c>
    </row>
    <row r="129" spans="1:20" x14ac:dyDescent="0.3">
      <c r="A129">
        <v>44</v>
      </c>
      <c r="B129">
        <v>1</v>
      </c>
      <c r="C129">
        <v>2</v>
      </c>
      <c r="D129">
        <v>120</v>
      </c>
      <c r="E129">
        <v>220</v>
      </c>
      <c r="F129">
        <v>0</v>
      </c>
      <c r="G129">
        <v>0</v>
      </c>
      <c r="H129">
        <v>170</v>
      </c>
      <c r="I129">
        <v>0</v>
      </c>
      <c r="J129">
        <v>0</v>
      </c>
      <c r="K129">
        <v>1</v>
      </c>
      <c r="L129">
        <v>0</v>
      </c>
      <c r="M129">
        <v>3</v>
      </c>
      <c r="N129">
        <v>0</v>
      </c>
      <c r="O129">
        <f t="shared" si="7"/>
        <v>-3.0294496086927785</v>
      </c>
      <c r="P129">
        <f t="shared" si="8"/>
        <v>4.6113030843042184E-2</v>
      </c>
      <c r="Q129">
        <f t="shared" si="9"/>
        <v>0</v>
      </c>
      <c r="R129">
        <f t="shared" si="10"/>
        <v>0</v>
      </c>
      <c r="S129">
        <f t="shared" si="11"/>
        <v>0.95388696915695781</v>
      </c>
      <c r="T129">
        <f t="shared" si="12"/>
        <v>-4.721009552082428E-2</v>
      </c>
    </row>
    <row r="130" spans="1:20" x14ac:dyDescent="0.3">
      <c r="A130">
        <v>62</v>
      </c>
      <c r="B130">
        <v>0</v>
      </c>
      <c r="C130">
        <v>4</v>
      </c>
      <c r="D130">
        <v>124</v>
      </c>
      <c r="E130">
        <v>209</v>
      </c>
      <c r="F130">
        <v>0</v>
      </c>
      <c r="G130">
        <v>0</v>
      </c>
      <c r="H130">
        <v>163</v>
      </c>
      <c r="I130">
        <v>0</v>
      </c>
      <c r="J130">
        <v>0</v>
      </c>
      <c r="K130">
        <v>1</v>
      </c>
      <c r="L130">
        <v>0</v>
      </c>
      <c r="M130">
        <v>3</v>
      </c>
      <c r="N130">
        <v>0</v>
      </c>
      <c r="O130">
        <f t="shared" si="7"/>
        <v>-3.7315884678889288</v>
      </c>
      <c r="P130">
        <f t="shared" si="8"/>
        <v>2.3394348375163267E-2</v>
      </c>
      <c r="Q130">
        <f t="shared" si="9"/>
        <v>0</v>
      </c>
      <c r="R130">
        <f t="shared" si="10"/>
        <v>0</v>
      </c>
      <c r="S130">
        <f t="shared" si="11"/>
        <v>0.9766056516248367</v>
      </c>
      <c r="T130">
        <f t="shared" si="12"/>
        <v>-2.3672340329711643E-2</v>
      </c>
    </row>
    <row r="131" spans="1:20" x14ac:dyDescent="0.3">
      <c r="A131">
        <v>54</v>
      </c>
      <c r="B131">
        <v>1</v>
      </c>
      <c r="C131">
        <v>3</v>
      </c>
      <c r="D131">
        <v>120</v>
      </c>
      <c r="E131">
        <v>258</v>
      </c>
      <c r="F131">
        <v>0</v>
      </c>
      <c r="G131">
        <v>2</v>
      </c>
      <c r="H131">
        <v>147</v>
      </c>
      <c r="I131">
        <v>0</v>
      </c>
      <c r="J131">
        <v>0.4</v>
      </c>
      <c r="K131">
        <v>2</v>
      </c>
      <c r="L131">
        <v>0</v>
      </c>
      <c r="M131">
        <v>7</v>
      </c>
      <c r="N131">
        <v>0</v>
      </c>
      <c r="O131">
        <f t="shared" ref="O131:O194" si="13">SUMPRODUCT(A131:M131,W$6:AI$6)+AJ135</f>
        <v>0.24815336082980144</v>
      </c>
      <c r="P131">
        <f t="shared" ref="P131:P194" si="14">1/(1+EXP(-O131))</f>
        <v>0.56172192798371889</v>
      </c>
      <c r="Q131">
        <f t="shared" ref="Q131:Q194" si="15">IF(P131&gt;0.5,1,0)</f>
        <v>1</v>
      </c>
      <c r="R131">
        <f t="shared" ref="R131:R194" si="16">IF(N131=Q131,0,1)</f>
        <v>1</v>
      </c>
      <c r="S131">
        <f t="shared" ref="S131:S194" si="17">IF(N131=1,P131,1-P131)</f>
        <v>0.43827807201628111</v>
      </c>
      <c r="T131">
        <f t="shared" ref="T131:T194" si="18">LN(S131)</f>
        <v>-0.82490170243180105</v>
      </c>
    </row>
    <row r="132" spans="1:20" x14ac:dyDescent="0.3">
      <c r="A132">
        <v>51</v>
      </c>
      <c r="B132">
        <v>1</v>
      </c>
      <c r="C132">
        <v>3</v>
      </c>
      <c r="D132">
        <v>94</v>
      </c>
      <c r="E132">
        <v>227</v>
      </c>
      <c r="F132">
        <v>0</v>
      </c>
      <c r="G132">
        <v>0</v>
      </c>
      <c r="H132">
        <v>154</v>
      </c>
      <c r="I132">
        <v>1</v>
      </c>
      <c r="J132">
        <v>0</v>
      </c>
      <c r="K132">
        <v>1</v>
      </c>
      <c r="L132">
        <v>1</v>
      </c>
      <c r="M132">
        <v>7</v>
      </c>
      <c r="N132">
        <v>0</v>
      </c>
      <c r="O132">
        <f t="shared" si="13"/>
        <v>0.76088589805878026</v>
      </c>
      <c r="P132">
        <f t="shared" si="14"/>
        <v>0.68154604093705407</v>
      </c>
      <c r="Q132">
        <f t="shared" si="15"/>
        <v>1</v>
      </c>
      <c r="R132">
        <f t="shared" si="16"/>
        <v>1</v>
      </c>
      <c r="S132">
        <f t="shared" si="17"/>
        <v>0.31845395906294593</v>
      </c>
      <c r="T132">
        <f t="shared" si="18"/>
        <v>-1.1442773699514288</v>
      </c>
    </row>
    <row r="133" spans="1:20" x14ac:dyDescent="0.3">
      <c r="A133">
        <v>29</v>
      </c>
      <c r="B133">
        <v>1</v>
      </c>
      <c r="C133">
        <v>2</v>
      </c>
      <c r="D133">
        <v>130</v>
      </c>
      <c r="E133">
        <v>204</v>
      </c>
      <c r="F133">
        <v>0</v>
      </c>
      <c r="G133">
        <v>2</v>
      </c>
      <c r="H133">
        <v>202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>
        <f t="shared" si="13"/>
        <v>-2.9120426985952932</v>
      </c>
      <c r="P133">
        <f t="shared" si="14"/>
        <v>5.1561450094130053E-2</v>
      </c>
      <c r="Q133">
        <f t="shared" si="15"/>
        <v>0</v>
      </c>
      <c r="R133">
        <f t="shared" si="16"/>
        <v>0</v>
      </c>
      <c r="S133">
        <f t="shared" si="17"/>
        <v>0.94843854990586995</v>
      </c>
      <c r="T133">
        <f t="shared" si="18"/>
        <v>-5.2938278310059712E-2</v>
      </c>
    </row>
    <row r="134" spans="1:20" x14ac:dyDescent="0.3">
      <c r="A134">
        <v>51</v>
      </c>
      <c r="B134">
        <v>1</v>
      </c>
      <c r="C134">
        <v>4</v>
      </c>
      <c r="D134">
        <v>140</v>
      </c>
      <c r="E134">
        <v>261</v>
      </c>
      <c r="F134">
        <v>0</v>
      </c>
      <c r="G134">
        <v>2</v>
      </c>
      <c r="H134">
        <v>186</v>
      </c>
      <c r="I134">
        <v>1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13"/>
        <v>-1.3977543757148885</v>
      </c>
      <c r="P134">
        <f t="shared" si="14"/>
        <v>0.19817269992897271</v>
      </c>
      <c r="Q134">
        <f t="shared" si="15"/>
        <v>0</v>
      </c>
      <c r="R134">
        <f t="shared" si="16"/>
        <v>0</v>
      </c>
      <c r="S134">
        <f t="shared" si="17"/>
        <v>0.80182730007102732</v>
      </c>
      <c r="T134">
        <f t="shared" si="18"/>
        <v>-0.22086203087366199</v>
      </c>
    </row>
    <row r="135" spans="1:20" x14ac:dyDescent="0.3">
      <c r="A135">
        <v>43</v>
      </c>
      <c r="B135">
        <v>0</v>
      </c>
      <c r="C135">
        <v>3</v>
      </c>
      <c r="D135">
        <v>122</v>
      </c>
      <c r="E135">
        <v>213</v>
      </c>
      <c r="F135">
        <v>0</v>
      </c>
      <c r="G135">
        <v>0</v>
      </c>
      <c r="H135">
        <v>165</v>
      </c>
      <c r="I135">
        <v>0</v>
      </c>
      <c r="J135">
        <v>0.2</v>
      </c>
      <c r="K135">
        <v>2</v>
      </c>
      <c r="L135">
        <v>0</v>
      </c>
      <c r="M135">
        <v>3</v>
      </c>
      <c r="N135">
        <v>0</v>
      </c>
      <c r="O135">
        <f t="shared" si="13"/>
        <v>-3.0102959544345245</v>
      </c>
      <c r="P135">
        <f t="shared" si="14"/>
        <v>4.696289775585117E-2</v>
      </c>
      <c r="Q135">
        <f t="shared" si="15"/>
        <v>0</v>
      </c>
      <c r="R135">
        <f t="shared" si="16"/>
        <v>0</v>
      </c>
      <c r="S135">
        <f t="shared" si="17"/>
        <v>0.95303710224414884</v>
      </c>
      <c r="T135">
        <f t="shared" si="18"/>
        <v>-4.8101444035244113E-2</v>
      </c>
    </row>
    <row r="136" spans="1:20" x14ac:dyDescent="0.3">
      <c r="A136">
        <v>55</v>
      </c>
      <c r="B136">
        <v>0</v>
      </c>
      <c r="C136">
        <v>2</v>
      </c>
      <c r="D136">
        <v>135</v>
      </c>
      <c r="E136">
        <v>250</v>
      </c>
      <c r="F136">
        <v>0</v>
      </c>
      <c r="G136">
        <v>2</v>
      </c>
      <c r="H136">
        <v>161</v>
      </c>
      <c r="I136">
        <v>0</v>
      </c>
      <c r="J136">
        <v>1.4</v>
      </c>
      <c r="K136">
        <v>2</v>
      </c>
      <c r="L136">
        <v>0</v>
      </c>
      <c r="M136">
        <v>3</v>
      </c>
      <c r="N136">
        <v>0</v>
      </c>
      <c r="O136">
        <f t="shared" si="13"/>
        <v>-2.6012911239633474</v>
      </c>
      <c r="P136">
        <f t="shared" si="14"/>
        <v>6.9055372012007982E-2</v>
      </c>
      <c r="Q136">
        <f t="shared" si="15"/>
        <v>0</v>
      </c>
      <c r="R136">
        <f t="shared" si="16"/>
        <v>0</v>
      </c>
      <c r="S136">
        <f t="shared" si="17"/>
        <v>0.93094462798799205</v>
      </c>
      <c r="T136">
        <f t="shared" si="18"/>
        <v>-7.1555479319164353E-2</v>
      </c>
    </row>
    <row r="137" spans="1:20" x14ac:dyDescent="0.3">
      <c r="A137">
        <v>70</v>
      </c>
      <c r="B137">
        <v>1</v>
      </c>
      <c r="C137">
        <v>4</v>
      </c>
      <c r="D137">
        <v>145</v>
      </c>
      <c r="E137">
        <v>174</v>
      </c>
      <c r="F137">
        <v>0</v>
      </c>
      <c r="G137">
        <v>0</v>
      </c>
      <c r="H137">
        <v>125</v>
      </c>
      <c r="I137">
        <v>1</v>
      </c>
      <c r="J137">
        <v>2.6</v>
      </c>
      <c r="K137">
        <v>3</v>
      </c>
      <c r="L137">
        <v>0</v>
      </c>
      <c r="M137">
        <v>7</v>
      </c>
      <c r="N137">
        <v>1</v>
      </c>
      <c r="O137">
        <f t="shared" si="13"/>
        <v>2.069391173151641</v>
      </c>
      <c r="P137">
        <f t="shared" si="14"/>
        <v>0.88789237342919147</v>
      </c>
      <c r="Q137">
        <f t="shared" si="15"/>
        <v>1</v>
      </c>
      <c r="R137">
        <f t="shared" si="16"/>
        <v>0</v>
      </c>
      <c r="S137">
        <f t="shared" si="17"/>
        <v>0.88789237342919147</v>
      </c>
      <c r="T137">
        <f t="shared" si="18"/>
        <v>-0.11890474442866586</v>
      </c>
    </row>
    <row r="138" spans="1:20" x14ac:dyDescent="0.3">
      <c r="A138">
        <v>62</v>
      </c>
      <c r="B138">
        <v>1</v>
      </c>
      <c r="C138">
        <v>2</v>
      </c>
      <c r="D138">
        <v>120</v>
      </c>
      <c r="E138">
        <v>281</v>
      </c>
      <c r="F138">
        <v>0</v>
      </c>
      <c r="G138">
        <v>2</v>
      </c>
      <c r="H138">
        <v>103</v>
      </c>
      <c r="I138">
        <v>0</v>
      </c>
      <c r="J138">
        <v>1.4</v>
      </c>
      <c r="K138">
        <v>2</v>
      </c>
      <c r="L138">
        <v>1</v>
      </c>
      <c r="M138">
        <v>7</v>
      </c>
      <c r="N138">
        <v>1</v>
      </c>
      <c r="O138">
        <f t="shared" si="13"/>
        <v>2.7710007432476513</v>
      </c>
      <c r="P138">
        <f t="shared" si="14"/>
        <v>0.94108849317964904</v>
      </c>
      <c r="Q138">
        <f t="shared" si="15"/>
        <v>1</v>
      </c>
      <c r="R138">
        <f t="shared" si="16"/>
        <v>0</v>
      </c>
      <c r="S138">
        <f t="shared" si="17"/>
        <v>0.94108849317964904</v>
      </c>
      <c r="T138">
        <f t="shared" si="18"/>
        <v>-6.0718102182210985E-2</v>
      </c>
    </row>
    <row r="139" spans="1:20" x14ac:dyDescent="0.3">
      <c r="A139">
        <v>35</v>
      </c>
      <c r="B139">
        <v>1</v>
      </c>
      <c r="C139">
        <v>4</v>
      </c>
      <c r="D139">
        <v>120</v>
      </c>
      <c r="E139">
        <v>198</v>
      </c>
      <c r="F139">
        <v>0</v>
      </c>
      <c r="G139">
        <v>0</v>
      </c>
      <c r="H139">
        <v>130</v>
      </c>
      <c r="I139">
        <v>1</v>
      </c>
      <c r="J139">
        <v>1.6</v>
      </c>
      <c r="K139">
        <v>2</v>
      </c>
      <c r="L139">
        <v>0</v>
      </c>
      <c r="M139">
        <v>7</v>
      </c>
      <c r="N139">
        <v>1</v>
      </c>
      <c r="O139">
        <f t="shared" si="13"/>
        <v>2.5643000171822687</v>
      </c>
      <c r="P139">
        <f t="shared" si="14"/>
        <v>0.92852834809622264</v>
      </c>
      <c r="Q139">
        <f t="shared" si="15"/>
        <v>1</v>
      </c>
      <c r="R139">
        <f t="shared" si="16"/>
        <v>0</v>
      </c>
      <c r="S139">
        <f t="shared" si="17"/>
        <v>0.92852834809622264</v>
      </c>
      <c r="T139">
        <f t="shared" si="18"/>
        <v>-7.415436758788746E-2</v>
      </c>
    </row>
    <row r="140" spans="1:20" x14ac:dyDescent="0.3">
      <c r="A140">
        <v>51</v>
      </c>
      <c r="B140">
        <v>1</v>
      </c>
      <c r="C140">
        <v>3</v>
      </c>
      <c r="D140">
        <v>125</v>
      </c>
      <c r="E140">
        <v>245</v>
      </c>
      <c r="F140">
        <v>1</v>
      </c>
      <c r="G140">
        <v>2</v>
      </c>
      <c r="H140">
        <v>166</v>
      </c>
      <c r="I140">
        <v>0</v>
      </c>
      <c r="J140">
        <v>2.4</v>
      </c>
      <c r="K140">
        <v>2</v>
      </c>
      <c r="L140">
        <v>0</v>
      </c>
      <c r="M140">
        <v>3</v>
      </c>
      <c r="N140">
        <v>0</v>
      </c>
      <c r="O140">
        <f t="shared" si="13"/>
        <v>-1.9218864107300146</v>
      </c>
      <c r="P140">
        <f t="shared" si="14"/>
        <v>0.12765135465759123</v>
      </c>
      <c r="Q140">
        <f t="shared" si="15"/>
        <v>0</v>
      </c>
      <c r="R140">
        <f t="shared" si="16"/>
        <v>0</v>
      </c>
      <c r="S140">
        <f t="shared" si="17"/>
        <v>0.87234864534240875</v>
      </c>
      <c r="T140">
        <f t="shared" si="18"/>
        <v>-0.13656611234055371</v>
      </c>
    </row>
    <row r="141" spans="1:20" x14ac:dyDescent="0.3">
      <c r="A141">
        <v>59</v>
      </c>
      <c r="B141">
        <v>1</v>
      </c>
      <c r="C141">
        <v>2</v>
      </c>
      <c r="D141">
        <v>140</v>
      </c>
      <c r="E141">
        <v>221</v>
      </c>
      <c r="F141">
        <v>0</v>
      </c>
      <c r="G141">
        <v>0</v>
      </c>
      <c r="H141">
        <v>164</v>
      </c>
      <c r="I141">
        <v>1</v>
      </c>
      <c r="J141">
        <v>0</v>
      </c>
      <c r="K141">
        <v>1</v>
      </c>
      <c r="L141">
        <v>0</v>
      </c>
      <c r="M141">
        <v>3</v>
      </c>
      <c r="N141">
        <v>0</v>
      </c>
      <c r="O141">
        <f t="shared" si="13"/>
        <v>-2.339244907019463</v>
      </c>
      <c r="P141">
        <f t="shared" si="14"/>
        <v>8.7924449721477491E-2</v>
      </c>
      <c r="Q141">
        <f t="shared" si="15"/>
        <v>0</v>
      </c>
      <c r="R141">
        <f t="shared" si="16"/>
        <v>0</v>
      </c>
      <c r="S141">
        <f t="shared" si="17"/>
        <v>0.9120755502785225</v>
      </c>
      <c r="T141">
        <f t="shared" si="18"/>
        <v>-9.2032452121188837E-2</v>
      </c>
    </row>
    <row r="142" spans="1:20" x14ac:dyDescent="0.3">
      <c r="A142">
        <v>59</v>
      </c>
      <c r="B142">
        <v>1</v>
      </c>
      <c r="C142">
        <v>1</v>
      </c>
      <c r="D142">
        <v>170</v>
      </c>
      <c r="E142">
        <v>288</v>
      </c>
      <c r="F142">
        <v>0</v>
      </c>
      <c r="G142">
        <v>2</v>
      </c>
      <c r="H142">
        <v>159</v>
      </c>
      <c r="I142">
        <v>0</v>
      </c>
      <c r="J142">
        <v>0.2</v>
      </c>
      <c r="K142">
        <v>2</v>
      </c>
      <c r="L142">
        <v>0</v>
      </c>
      <c r="M142">
        <v>7</v>
      </c>
      <c r="N142">
        <v>1</v>
      </c>
      <c r="O142">
        <f t="shared" si="13"/>
        <v>-0.42113536109250127</v>
      </c>
      <c r="P142">
        <f t="shared" si="14"/>
        <v>0.39624510014328829</v>
      </c>
      <c r="Q142">
        <f t="shared" si="15"/>
        <v>0</v>
      </c>
      <c r="R142">
        <f t="shared" si="16"/>
        <v>1</v>
      </c>
      <c r="S142">
        <f t="shared" si="17"/>
        <v>0.39624510014328829</v>
      </c>
      <c r="T142">
        <f t="shared" si="18"/>
        <v>-0.92572231943608951</v>
      </c>
    </row>
    <row r="143" spans="1:20" x14ac:dyDescent="0.3">
      <c r="A143">
        <v>52</v>
      </c>
      <c r="B143">
        <v>1</v>
      </c>
      <c r="C143">
        <v>2</v>
      </c>
      <c r="D143">
        <v>128</v>
      </c>
      <c r="E143">
        <v>205</v>
      </c>
      <c r="F143">
        <v>1</v>
      </c>
      <c r="G143">
        <v>0</v>
      </c>
      <c r="H143">
        <v>184</v>
      </c>
      <c r="I143">
        <v>0</v>
      </c>
      <c r="J143">
        <v>0</v>
      </c>
      <c r="K143">
        <v>1</v>
      </c>
      <c r="L143">
        <v>0</v>
      </c>
      <c r="M143">
        <v>3</v>
      </c>
      <c r="N143">
        <v>0</v>
      </c>
      <c r="O143">
        <f t="shared" si="13"/>
        <v>-4.5938041865347055</v>
      </c>
      <c r="P143">
        <f t="shared" si="14"/>
        <v>1.0013033470113291E-2</v>
      </c>
      <c r="Q143">
        <f t="shared" si="15"/>
        <v>0</v>
      </c>
      <c r="R143">
        <f t="shared" si="16"/>
        <v>0</v>
      </c>
      <c r="S143">
        <f t="shared" si="17"/>
        <v>0.98998696652988671</v>
      </c>
      <c r="T143">
        <f t="shared" si="18"/>
        <v>-1.0063501061488964E-2</v>
      </c>
    </row>
    <row r="144" spans="1:20" x14ac:dyDescent="0.3">
      <c r="A144">
        <v>64</v>
      </c>
      <c r="B144">
        <v>1</v>
      </c>
      <c r="C144">
        <v>3</v>
      </c>
      <c r="D144">
        <v>125</v>
      </c>
      <c r="E144">
        <v>309</v>
      </c>
      <c r="F144">
        <v>0</v>
      </c>
      <c r="G144">
        <v>0</v>
      </c>
      <c r="H144">
        <v>131</v>
      </c>
      <c r="I144">
        <v>1</v>
      </c>
      <c r="J144">
        <v>1.8</v>
      </c>
      <c r="K144">
        <v>2</v>
      </c>
      <c r="L144">
        <v>0</v>
      </c>
      <c r="M144">
        <v>7</v>
      </c>
      <c r="N144">
        <v>1</v>
      </c>
      <c r="O144">
        <f t="shared" si="13"/>
        <v>1.2620459789021083</v>
      </c>
      <c r="P144">
        <f t="shared" si="14"/>
        <v>0.77937811057942841</v>
      </c>
      <c r="Q144">
        <f t="shared" si="15"/>
        <v>1</v>
      </c>
      <c r="R144">
        <f t="shared" si="16"/>
        <v>0</v>
      </c>
      <c r="S144">
        <f t="shared" si="17"/>
        <v>0.77937811057942841</v>
      </c>
      <c r="T144">
        <f t="shared" si="18"/>
        <v>-0.24925897143544343</v>
      </c>
    </row>
    <row r="145" spans="1:20" x14ac:dyDescent="0.3">
      <c r="A145">
        <v>58</v>
      </c>
      <c r="B145">
        <v>1</v>
      </c>
      <c r="C145">
        <v>3</v>
      </c>
      <c r="D145">
        <v>105</v>
      </c>
      <c r="E145">
        <v>240</v>
      </c>
      <c r="F145">
        <v>0</v>
      </c>
      <c r="G145">
        <v>2</v>
      </c>
      <c r="H145">
        <v>154</v>
      </c>
      <c r="I145">
        <v>1</v>
      </c>
      <c r="J145">
        <v>0.6</v>
      </c>
      <c r="K145">
        <v>2</v>
      </c>
      <c r="L145">
        <v>0</v>
      </c>
      <c r="M145">
        <v>7</v>
      </c>
      <c r="N145">
        <v>0</v>
      </c>
      <c r="O145">
        <f t="shared" si="13"/>
        <v>0.41217068551459635</v>
      </c>
      <c r="P145">
        <f t="shared" si="14"/>
        <v>0.60160825412406516</v>
      </c>
      <c r="Q145">
        <f t="shared" si="15"/>
        <v>1</v>
      </c>
      <c r="R145">
        <f t="shared" si="16"/>
        <v>1</v>
      </c>
      <c r="S145">
        <f t="shared" si="17"/>
        <v>0.39839174587593484</v>
      </c>
      <c r="T145">
        <f t="shared" si="18"/>
        <v>-0.92031947166921291</v>
      </c>
    </row>
    <row r="146" spans="1:20" x14ac:dyDescent="0.3">
      <c r="A146">
        <v>47</v>
      </c>
      <c r="B146">
        <v>1</v>
      </c>
      <c r="C146">
        <v>3</v>
      </c>
      <c r="D146">
        <v>108</v>
      </c>
      <c r="E146">
        <v>243</v>
      </c>
      <c r="F146">
        <v>0</v>
      </c>
      <c r="G146">
        <v>0</v>
      </c>
      <c r="H146">
        <v>152</v>
      </c>
      <c r="I146">
        <v>0</v>
      </c>
      <c r="J146">
        <v>0</v>
      </c>
      <c r="K146">
        <v>1</v>
      </c>
      <c r="L146">
        <v>0</v>
      </c>
      <c r="M146">
        <v>3</v>
      </c>
      <c r="N146">
        <v>1</v>
      </c>
      <c r="O146">
        <f t="shared" si="13"/>
        <v>-2.2161537713042874</v>
      </c>
      <c r="P146">
        <f t="shared" si="14"/>
        <v>9.830922503125758E-2</v>
      </c>
      <c r="Q146">
        <f t="shared" si="15"/>
        <v>0</v>
      </c>
      <c r="R146">
        <f t="shared" si="16"/>
        <v>1</v>
      </c>
      <c r="S146">
        <f t="shared" si="17"/>
        <v>9.830922503125758E-2</v>
      </c>
      <c r="T146">
        <f t="shared" si="18"/>
        <v>-2.3196374105429536</v>
      </c>
    </row>
    <row r="147" spans="1:20" x14ac:dyDescent="0.3">
      <c r="A147">
        <v>57</v>
      </c>
      <c r="B147">
        <v>1</v>
      </c>
      <c r="C147">
        <v>4</v>
      </c>
      <c r="D147">
        <v>165</v>
      </c>
      <c r="E147">
        <v>289</v>
      </c>
      <c r="F147">
        <v>1</v>
      </c>
      <c r="G147">
        <v>2</v>
      </c>
      <c r="H147">
        <v>124</v>
      </c>
      <c r="I147">
        <v>0</v>
      </c>
      <c r="J147">
        <v>1</v>
      </c>
      <c r="K147">
        <v>2</v>
      </c>
      <c r="L147">
        <v>3</v>
      </c>
      <c r="M147">
        <v>7</v>
      </c>
      <c r="N147">
        <v>1</v>
      </c>
      <c r="O147">
        <f t="shared" si="13"/>
        <v>5.2929747178824655</v>
      </c>
      <c r="P147">
        <f t="shared" si="14"/>
        <v>0.99499835745007847</v>
      </c>
      <c r="Q147">
        <f t="shared" si="15"/>
        <v>1</v>
      </c>
      <c r="R147">
        <f t="shared" si="16"/>
        <v>0</v>
      </c>
      <c r="S147">
        <f t="shared" si="17"/>
        <v>0.99499835745007847</v>
      </c>
      <c r="T147">
        <f t="shared" si="18"/>
        <v>-5.0141926288480923E-3</v>
      </c>
    </row>
    <row r="148" spans="1:20" x14ac:dyDescent="0.3">
      <c r="A148">
        <v>41</v>
      </c>
      <c r="B148">
        <v>1</v>
      </c>
      <c r="C148">
        <v>3</v>
      </c>
      <c r="D148">
        <v>112</v>
      </c>
      <c r="E148">
        <v>250</v>
      </c>
      <c r="F148">
        <v>0</v>
      </c>
      <c r="G148">
        <v>0</v>
      </c>
      <c r="H148">
        <v>179</v>
      </c>
      <c r="I148">
        <v>0</v>
      </c>
      <c r="J148">
        <v>0</v>
      </c>
      <c r="K148">
        <v>1</v>
      </c>
      <c r="L148">
        <v>0</v>
      </c>
      <c r="M148">
        <v>3</v>
      </c>
      <c r="N148">
        <v>0</v>
      </c>
      <c r="O148">
        <f t="shared" si="13"/>
        <v>-2.9019798647979034</v>
      </c>
      <c r="P148">
        <f t="shared" si="14"/>
        <v>5.2055778030982949E-2</v>
      </c>
      <c r="Q148">
        <f t="shared" si="15"/>
        <v>0</v>
      </c>
      <c r="R148">
        <f t="shared" si="16"/>
        <v>0</v>
      </c>
      <c r="S148">
        <f t="shared" si="17"/>
        <v>0.94794422196901706</v>
      </c>
      <c r="T148">
        <f t="shared" si="18"/>
        <v>-5.345961604353891E-2</v>
      </c>
    </row>
    <row r="149" spans="1:20" x14ac:dyDescent="0.3">
      <c r="A149">
        <v>45</v>
      </c>
      <c r="B149">
        <v>1</v>
      </c>
      <c r="C149">
        <v>2</v>
      </c>
      <c r="D149">
        <v>128</v>
      </c>
      <c r="E149">
        <v>308</v>
      </c>
      <c r="F149">
        <v>0</v>
      </c>
      <c r="G149">
        <v>2</v>
      </c>
      <c r="H149">
        <v>170</v>
      </c>
      <c r="I149">
        <v>0</v>
      </c>
      <c r="J149">
        <v>0</v>
      </c>
      <c r="K149">
        <v>1</v>
      </c>
      <c r="L149">
        <v>0</v>
      </c>
      <c r="M149">
        <v>3</v>
      </c>
      <c r="N149">
        <v>0</v>
      </c>
      <c r="O149">
        <f t="shared" si="13"/>
        <v>-2.1678575380716634</v>
      </c>
      <c r="P149">
        <f t="shared" si="14"/>
        <v>0.10267425532609785</v>
      </c>
      <c r="Q149">
        <f t="shared" si="15"/>
        <v>0</v>
      </c>
      <c r="R149">
        <f t="shared" si="16"/>
        <v>0</v>
      </c>
      <c r="S149">
        <f t="shared" si="17"/>
        <v>0.89732574467390214</v>
      </c>
      <c r="T149">
        <f t="shared" si="18"/>
        <v>-0.10833633382268588</v>
      </c>
    </row>
    <row r="150" spans="1:20" x14ac:dyDescent="0.3">
      <c r="A150">
        <v>60</v>
      </c>
      <c r="B150">
        <v>0</v>
      </c>
      <c r="C150">
        <v>3</v>
      </c>
      <c r="D150">
        <v>102</v>
      </c>
      <c r="E150">
        <v>318</v>
      </c>
      <c r="F150">
        <v>0</v>
      </c>
      <c r="G150">
        <v>0</v>
      </c>
      <c r="H150">
        <v>160</v>
      </c>
      <c r="I150">
        <v>0</v>
      </c>
      <c r="J150">
        <v>0</v>
      </c>
      <c r="K150">
        <v>1</v>
      </c>
      <c r="L150">
        <v>1</v>
      </c>
      <c r="M150">
        <v>3</v>
      </c>
      <c r="N150">
        <v>0</v>
      </c>
      <c r="O150">
        <f t="shared" si="13"/>
        <v>-2.7081542990534433</v>
      </c>
      <c r="P150">
        <f t="shared" si="14"/>
        <v>6.2493900788450928E-2</v>
      </c>
      <c r="Q150">
        <f t="shared" si="15"/>
        <v>0</v>
      </c>
      <c r="R150">
        <f t="shared" si="16"/>
        <v>0</v>
      </c>
      <c r="S150">
        <f t="shared" si="17"/>
        <v>0.93750609921154904</v>
      </c>
      <c r="T150">
        <f t="shared" si="18"/>
        <v>-6.4532015333081658E-2</v>
      </c>
    </row>
    <row r="151" spans="1:20" x14ac:dyDescent="0.3">
      <c r="A151">
        <v>52</v>
      </c>
      <c r="B151">
        <v>1</v>
      </c>
      <c r="C151">
        <v>1</v>
      </c>
      <c r="D151">
        <v>152</v>
      </c>
      <c r="E151">
        <v>298</v>
      </c>
      <c r="F151">
        <v>1</v>
      </c>
      <c r="G151">
        <v>0</v>
      </c>
      <c r="H151">
        <v>178</v>
      </c>
      <c r="I151">
        <v>0</v>
      </c>
      <c r="J151">
        <v>1.2</v>
      </c>
      <c r="K151">
        <v>2</v>
      </c>
      <c r="L151">
        <v>0</v>
      </c>
      <c r="M151">
        <v>7</v>
      </c>
      <c r="N151">
        <v>0</v>
      </c>
      <c r="O151">
        <f t="shared" si="13"/>
        <v>-2.1249942300074189</v>
      </c>
      <c r="P151">
        <f t="shared" si="14"/>
        <v>0.10669114387168521</v>
      </c>
      <c r="Q151">
        <f t="shared" si="15"/>
        <v>0</v>
      </c>
      <c r="R151">
        <f t="shared" si="16"/>
        <v>0</v>
      </c>
      <c r="S151">
        <f t="shared" si="17"/>
        <v>0.89330885612831479</v>
      </c>
      <c r="T151">
        <f t="shared" si="18"/>
        <v>-0.11282289437709135</v>
      </c>
    </row>
    <row r="152" spans="1:20" x14ac:dyDescent="0.3">
      <c r="A152">
        <v>42</v>
      </c>
      <c r="B152">
        <v>0</v>
      </c>
      <c r="C152">
        <v>4</v>
      </c>
      <c r="D152">
        <v>102</v>
      </c>
      <c r="E152">
        <v>265</v>
      </c>
      <c r="F152">
        <v>0</v>
      </c>
      <c r="G152">
        <v>2</v>
      </c>
      <c r="H152">
        <v>122</v>
      </c>
      <c r="I152">
        <v>0</v>
      </c>
      <c r="J152">
        <v>0.6</v>
      </c>
      <c r="K152">
        <v>2</v>
      </c>
      <c r="L152">
        <v>0</v>
      </c>
      <c r="M152">
        <v>3</v>
      </c>
      <c r="N152">
        <v>0</v>
      </c>
      <c r="O152">
        <f t="shared" si="13"/>
        <v>-0.44035204191577915</v>
      </c>
      <c r="P152">
        <f t="shared" si="14"/>
        <v>0.39165708790976655</v>
      </c>
      <c r="Q152">
        <f t="shared" si="15"/>
        <v>0</v>
      </c>
      <c r="R152">
        <f t="shared" si="16"/>
        <v>0</v>
      </c>
      <c r="S152">
        <f t="shared" si="17"/>
        <v>0.6083429120902335</v>
      </c>
      <c r="T152">
        <f t="shared" si="18"/>
        <v>-0.49701655585586657</v>
      </c>
    </row>
    <row r="153" spans="1:20" x14ac:dyDescent="0.3">
      <c r="A153">
        <v>67</v>
      </c>
      <c r="B153">
        <v>0</v>
      </c>
      <c r="C153">
        <v>3</v>
      </c>
      <c r="D153">
        <v>115</v>
      </c>
      <c r="E153">
        <v>564</v>
      </c>
      <c r="F153">
        <v>0</v>
      </c>
      <c r="G153">
        <v>2</v>
      </c>
      <c r="H153">
        <v>160</v>
      </c>
      <c r="I153">
        <v>0</v>
      </c>
      <c r="J153">
        <v>1.6</v>
      </c>
      <c r="K153">
        <v>2</v>
      </c>
      <c r="L153">
        <v>0</v>
      </c>
      <c r="M153">
        <v>7</v>
      </c>
      <c r="N153">
        <v>0</v>
      </c>
      <c r="O153">
        <f t="shared" si="13"/>
        <v>-0.75796556898023315</v>
      </c>
      <c r="P153">
        <f t="shared" si="14"/>
        <v>0.31908812607703291</v>
      </c>
      <c r="Q153">
        <f t="shared" si="15"/>
        <v>0</v>
      </c>
      <c r="R153">
        <f t="shared" si="16"/>
        <v>0</v>
      </c>
      <c r="S153">
        <f t="shared" si="17"/>
        <v>0.68091187392296715</v>
      </c>
      <c r="T153">
        <f t="shared" si="18"/>
        <v>-0.38432238807430547</v>
      </c>
    </row>
    <row r="154" spans="1:20" x14ac:dyDescent="0.3">
      <c r="A154">
        <v>55</v>
      </c>
      <c r="B154">
        <v>1</v>
      </c>
      <c r="C154">
        <v>4</v>
      </c>
      <c r="D154">
        <v>160</v>
      </c>
      <c r="E154">
        <v>289</v>
      </c>
      <c r="F154">
        <v>0</v>
      </c>
      <c r="G154">
        <v>2</v>
      </c>
      <c r="H154">
        <v>145</v>
      </c>
      <c r="I154">
        <v>1</v>
      </c>
      <c r="J154">
        <v>0.8</v>
      </c>
      <c r="K154">
        <v>2</v>
      </c>
      <c r="L154">
        <v>1</v>
      </c>
      <c r="M154">
        <v>7</v>
      </c>
      <c r="N154">
        <v>1</v>
      </c>
      <c r="O154">
        <f t="shared" si="13"/>
        <v>3.5287693567132123</v>
      </c>
      <c r="P154">
        <f t="shared" si="14"/>
        <v>0.97149535294036404</v>
      </c>
      <c r="Q154">
        <f t="shared" si="15"/>
        <v>1</v>
      </c>
      <c r="R154">
        <f t="shared" si="16"/>
        <v>0</v>
      </c>
      <c r="S154">
        <f t="shared" si="17"/>
        <v>0.97149535294036404</v>
      </c>
      <c r="T154">
        <f t="shared" si="18"/>
        <v>-2.8918793562223679E-2</v>
      </c>
    </row>
    <row r="155" spans="1:20" x14ac:dyDescent="0.3">
      <c r="A155">
        <v>64</v>
      </c>
      <c r="B155">
        <v>1</v>
      </c>
      <c r="C155">
        <v>4</v>
      </c>
      <c r="D155">
        <v>120</v>
      </c>
      <c r="E155">
        <v>246</v>
      </c>
      <c r="F155">
        <v>0</v>
      </c>
      <c r="G155">
        <v>2</v>
      </c>
      <c r="H155">
        <v>96</v>
      </c>
      <c r="I155">
        <v>1</v>
      </c>
      <c r="J155">
        <v>2.2000000000000002</v>
      </c>
      <c r="K155">
        <v>3</v>
      </c>
      <c r="L155">
        <v>1</v>
      </c>
      <c r="M155">
        <v>3</v>
      </c>
      <c r="N155">
        <v>1</v>
      </c>
      <c r="O155">
        <f t="shared" si="13"/>
        <v>3.5560954442157588</v>
      </c>
      <c r="P155">
        <f t="shared" si="14"/>
        <v>0.97224239904734633</v>
      </c>
      <c r="Q155">
        <f t="shared" si="15"/>
        <v>1</v>
      </c>
      <c r="R155">
        <f t="shared" si="16"/>
        <v>0</v>
      </c>
      <c r="S155">
        <f t="shared" si="17"/>
        <v>0.97224239904734633</v>
      </c>
      <c r="T155">
        <f t="shared" si="18"/>
        <v>-2.8150123876201257E-2</v>
      </c>
    </row>
    <row r="156" spans="1:20" x14ac:dyDescent="0.3">
      <c r="A156">
        <v>70</v>
      </c>
      <c r="B156">
        <v>1</v>
      </c>
      <c r="C156">
        <v>4</v>
      </c>
      <c r="D156">
        <v>130</v>
      </c>
      <c r="E156">
        <v>322</v>
      </c>
      <c r="F156">
        <v>0</v>
      </c>
      <c r="G156">
        <v>2</v>
      </c>
      <c r="H156">
        <v>109</v>
      </c>
      <c r="I156">
        <v>0</v>
      </c>
      <c r="J156">
        <v>2.4</v>
      </c>
      <c r="K156">
        <v>2</v>
      </c>
      <c r="L156">
        <v>3</v>
      </c>
      <c r="M156">
        <v>3</v>
      </c>
      <c r="N156">
        <v>1</v>
      </c>
      <c r="O156">
        <f t="shared" si="13"/>
        <v>4.5696719950769644</v>
      </c>
      <c r="P156">
        <f t="shared" si="14"/>
        <v>0.98974489903309693</v>
      </c>
      <c r="Q156">
        <f t="shared" si="15"/>
        <v>1</v>
      </c>
      <c r="R156">
        <f t="shared" si="16"/>
        <v>0</v>
      </c>
      <c r="S156">
        <f t="shared" si="17"/>
        <v>0.98974489903309693</v>
      </c>
      <c r="T156">
        <f t="shared" si="18"/>
        <v>-1.0308046802462129E-2</v>
      </c>
    </row>
    <row r="157" spans="1:20" x14ac:dyDescent="0.3">
      <c r="A157">
        <v>51</v>
      </c>
      <c r="B157">
        <v>1</v>
      </c>
      <c r="C157">
        <v>4</v>
      </c>
      <c r="D157">
        <v>140</v>
      </c>
      <c r="E157">
        <v>299</v>
      </c>
      <c r="F157">
        <v>0</v>
      </c>
      <c r="G157">
        <v>0</v>
      </c>
      <c r="H157">
        <v>173</v>
      </c>
      <c r="I157">
        <v>1</v>
      </c>
      <c r="J157">
        <v>1.6</v>
      </c>
      <c r="K157">
        <v>1</v>
      </c>
      <c r="L157">
        <v>0</v>
      </c>
      <c r="M157">
        <v>7</v>
      </c>
      <c r="N157">
        <v>1</v>
      </c>
      <c r="O157">
        <f t="shared" si="13"/>
        <v>0.46925517931783722</v>
      </c>
      <c r="P157">
        <f t="shared" si="14"/>
        <v>0.61520745218121242</v>
      </c>
      <c r="Q157">
        <f t="shared" si="15"/>
        <v>1</v>
      </c>
      <c r="R157">
        <f t="shared" si="16"/>
        <v>0</v>
      </c>
      <c r="S157">
        <f t="shared" si="17"/>
        <v>0.61520745218121242</v>
      </c>
      <c r="T157">
        <f t="shared" si="18"/>
        <v>-0.48579574743557108</v>
      </c>
    </row>
    <row r="158" spans="1:20" x14ac:dyDescent="0.3">
      <c r="A158">
        <v>58</v>
      </c>
      <c r="B158">
        <v>1</v>
      </c>
      <c r="C158">
        <v>4</v>
      </c>
      <c r="D158">
        <v>125</v>
      </c>
      <c r="E158">
        <v>300</v>
      </c>
      <c r="F158">
        <v>0</v>
      </c>
      <c r="G158">
        <v>2</v>
      </c>
      <c r="H158">
        <v>171</v>
      </c>
      <c r="I158">
        <v>0</v>
      </c>
      <c r="J158">
        <v>0</v>
      </c>
      <c r="K158">
        <v>1</v>
      </c>
      <c r="L158">
        <v>2</v>
      </c>
      <c r="M158">
        <v>7</v>
      </c>
      <c r="N158">
        <v>1</v>
      </c>
      <c r="O158">
        <f t="shared" si="13"/>
        <v>1.8162548259245672</v>
      </c>
      <c r="P158">
        <f t="shared" si="14"/>
        <v>0.86011612871183174</v>
      </c>
      <c r="Q158">
        <f t="shared" si="15"/>
        <v>1</v>
      </c>
      <c r="R158">
        <f t="shared" si="16"/>
        <v>0</v>
      </c>
      <c r="S158">
        <f t="shared" si="17"/>
        <v>0.86011612871183174</v>
      </c>
      <c r="T158">
        <f t="shared" si="18"/>
        <v>-0.15068786546491977</v>
      </c>
    </row>
    <row r="159" spans="1:20" x14ac:dyDescent="0.3">
      <c r="A159">
        <v>60</v>
      </c>
      <c r="B159">
        <v>1</v>
      </c>
      <c r="C159">
        <v>4</v>
      </c>
      <c r="D159">
        <v>140</v>
      </c>
      <c r="E159">
        <v>293</v>
      </c>
      <c r="F159">
        <v>0</v>
      </c>
      <c r="G159">
        <v>2</v>
      </c>
      <c r="H159">
        <v>170</v>
      </c>
      <c r="I159">
        <v>0</v>
      </c>
      <c r="J159">
        <v>1.2</v>
      </c>
      <c r="K159">
        <v>2</v>
      </c>
      <c r="L159">
        <v>2</v>
      </c>
      <c r="M159">
        <v>7</v>
      </c>
      <c r="N159">
        <v>1</v>
      </c>
      <c r="O159">
        <f t="shared" si="13"/>
        <v>2.5904440378224654</v>
      </c>
      <c r="P159">
        <f t="shared" si="14"/>
        <v>0.93024403627373997</v>
      </c>
      <c r="Q159">
        <f t="shared" si="15"/>
        <v>1</v>
      </c>
      <c r="R159">
        <f t="shared" si="16"/>
        <v>0</v>
      </c>
      <c r="S159">
        <f t="shared" si="17"/>
        <v>0.93024403627373997</v>
      </c>
      <c r="T159">
        <f t="shared" si="18"/>
        <v>-7.230832266148042E-2</v>
      </c>
    </row>
    <row r="160" spans="1:20" x14ac:dyDescent="0.3">
      <c r="A160">
        <v>68</v>
      </c>
      <c r="B160">
        <v>1</v>
      </c>
      <c r="C160">
        <v>3</v>
      </c>
      <c r="D160">
        <v>118</v>
      </c>
      <c r="E160">
        <v>277</v>
      </c>
      <c r="F160">
        <v>0</v>
      </c>
      <c r="G160">
        <v>0</v>
      </c>
      <c r="H160">
        <v>151</v>
      </c>
      <c r="I160">
        <v>0</v>
      </c>
      <c r="J160">
        <v>1</v>
      </c>
      <c r="K160">
        <v>1</v>
      </c>
      <c r="L160">
        <v>1</v>
      </c>
      <c r="M160">
        <v>7</v>
      </c>
      <c r="N160">
        <v>0</v>
      </c>
      <c r="O160">
        <f t="shared" si="13"/>
        <v>4.4940103779805618E-2</v>
      </c>
      <c r="P160">
        <f t="shared" si="14"/>
        <v>0.5112331354597851</v>
      </c>
      <c r="Q160">
        <f t="shared" si="15"/>
        <v>1</v>
      </c>
      <c r="R160">
        <f t="shared" si="16"/>
        <v>1</v>
      </c>
      <c r="S160">
        <f t="shared" si="17"/>
        <v>0.4887668645402149</v>
      </c>
      <c r="T160">
        <f t="shared" si="18"/>
        <v>-0.71586966282473585</v>
      </c>
    </row>
    <row r="161" spans="1:20" x14ac:dyDescent="0.3">
      <c r="A161">
        <v>46</v>
      </c>
      <c r="B161">
        <v>1</v>
      </c>
      <c r="C161">
        <v>2</v>
      </c>
      <c r="D161">
        <v>101</v>
      </c>
      <c r="E161">
        <v>197</v>
      </c>
      <c r="F161">
        <v>1</v>
      </c>
      <c r="G161">
        <v>0</v>
      </c>
      <c r="H161">
        <v>156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0</v>
      </c>
      <c r="O161">
        <f t="shared" si="13"/>
        <v>-2.2779586890710761</v>
      </c>
      <c r="P161">
        <f t="shared" si="14"/>
        <v>9.2964938513869763E-2</v>
      </c>
      <c r="Q161">
        <f t="shared" si="15"/>
        <v>0</v>
      </c>
      <c r="R161">
        <f t="shared" si="16"/>
        <v>0</v>
      </c>
      <c r="S161">
        <f t="shared" si="17"/>
        <v>0.90703506148613022</v>
      </c>
      <c r="T161">
        <f t="shared" si="18"/>
        <v>-9.7574173069349152E-2</v>
      </c>
    </row>
    <row r="162" spans="1:20" x14ac:dyDescent="0.3">
      <c r="A162">
        <v>77</v>
      </c>
      <c r="B162">
        <v>1</v>
      </c>
      <c r="C162">
        <v>4</v>
      </c>
      <c r="D162">
        <v>125</v>
      </c>
      <c r="E162">
        <v>304</v>
      </c>
      <c r="F162">
        <v>0</v>
      </c>
      <c r="G162">
        <v>2</v>
      </c>
      <c r="H162">
        <v>162</v>
      </c>
      <c r="I162">
        <v>1</v>
      </c>
      <c r="J162">
        <v>0</v>
      </c>
      <c r="K162">
        <v>1</v>
      </c>
      <c r="L162">
        <v>3</v>
      </c>
      <c r="M162">
        <v>3</v>
      </c>
      <c r="N162">
        <v>1</v>
      </c>
      <c r="O162">
        <f t="shared" si="13"/>
        <v>1.9975722643707479</v>
      </c>
      <c r="P162">
        <f t="shared" si="14"/>
        <v>0.88054194557162813</v>
      </c>
      <c r="Q162">
        <f t="shared" si="15"/>
        <v>1</v>
      </c>
      <c r="R162">
        <f t="shared" si="16"/>
        <v>0</v>
      </c>
      <c r="S162">
        <f t="shared" si="17"/>
        <v>0.88054194557162813</v>
      </c>
      <c r="T162">
        <f t="shared" si="18"/>
        <v>-0.12721771382548913</v>
      </c>
    </row>
    <row r="163" spans="1:20" x14ac:dyDescent="0.3">
      <c r="A163">
        <v>54</v>
      </c>
      <c r="B163">
        <v>0</v>
      </c>
      <c r="C163">
        <v>3</v>
      </c>
      <c r="D163">
        <v>110</v>
      </c>
      <c r="E163">
        <v>214</v>
      </c>
      <c r="F163">
        <v>0</v>
      </c>
      <c r="G163">
        <v>0</v>
      </c>
      <c r="H163">
        <v>158</v>
      </c>
      <c r="I163">
        <v>0</v>
      </c>
      <c r="J163">
        <v>1.6</v>
      </c>
      <c r="K163">
        <v>2</v>
      </c>
      <c r="L163">
        <v>0</v>
      </c>
      <c r="M163">
        <v>3</v>
      </c>
      <c r="N163">
        <v>0</v>
      </c>
      <c r="O163">
        <f t="shared" si="13"/>
        <v>-3.0360276452503401</v>
      </c>
      <c r="P163">
        <f t="shared" si="14"/>
        <v>4.5824547614013812E-2</v>
      </c>
      <c r="Q163">
        <f t="shared" si="15"/>
        <v>0</v>
      </c>
      <c r="R163">
        <f t="shared" si="16"/>
        <v>0</v>
      </c>
      <c r="S163">
        <f t="shared" si="17"/>
        <v>0.95417545238598622</v>
      </c>
      <c r="T163">
        <f t="shared" si="18"/>
        <v>-4.6907712089371056E-2</v>
      </c>
    </row>
    <row r="164" spans="1:20" x14ac:dyDescent="0.3">
      <c r="A164">
        <v>58</v>
      </c>
      <c r="B164">
        <v>0</v>
      </c>
      <c r="C164">
        <v>4</v>
      </c>
      <c r="D164">
        <v>100</v>
      </c>
      <c r="E164">
        <v>248</v>
      </c>
      <c r="F164">
        <v>0</v>
      </c>
      <c r="G164">
        <v>2</v>
      </c>
      <c r="H164">
        <v>122</v>
      </c>
      <c r="I164">
        <v>0</v>
      </c>
      <c r="J164">
        <v>1</v>
      </c>
      <c r="K164">
        <v>2</v>
      </c>
      <c r="L164">
        <v>0</v>
      </c>
      <c r="M164">
        <v>3</v>
      </c>
      <c r="N164">
        <v>0</v>
      </c>
      <c r="O164">
        <f t="shared" si="13"/>
        <v>-1.1216214324193623</v>
      </c>
      <c r="P164">
        <f t="shared" si="14"/>
        <v>0.24571064836137776</v>
      </c>
      <c r="Q164">
        <f t="shared" si="15"/>
        <v>0</v>
      </c>
      <c r="R164">
        <f t="shared" si="16"/>
        <v>0</v>
      </c>
      <c r="S164">
        <f t="shared" si="17"/>
        <v>0.75428935163862221</v>
      </c>
      <c r="T164">
        <f t="shared" si="18"/>
        <v>-0.28197922910059681</v>
      </c>
    </row>
    <row r="165" spans="1:20" x14ac:dyDescent="0.3">
      <c r="A165">
        <v>48</v>
      </c>
      <c r="B165">
        <v>1</v>
      </c>
      <c r="C165">
        <v>3</v>
      </c>
      <c r="D165">
        <v>124</v>
      </c>
      <c r="E165">
        <v>255</v>
      </c>
      <c r="F165">
        <v>1</v>
      </c>
      <c r="G165">
        <v>0</v>
      </c>
      <c r="H165">
        <v>175</v>
      </c>
      <c r="I165">
        <v>0</v>
      </c>
      <c r="J165">
        <v>0</v>
      </c>
      <c r="K165">
        <v>1</v>
      </c>
      <c r="L165">
        <v>2</v>
      </c>
      <c r="M165">
        <v>3</v>
      </c>
      <c r="N165">
        <v>0</v>
      </c>
      <c r="O165">
        <f t="shared" si="13"/>
        <v>-1.1186367293480242</v>
      </c>
      <c r="P165">
        <f t="shared" si="14"/>
        <v>0.24626424380848513</v>
      </c>
      <c r="Q165">
        <f t="shared" si="15"/>
        <v>0</v>
      </c>
      <c r="R165">
        <f t="shared" si="16"/>
        <v>0</v>
      </c>
      <c r="S165">
        <f t="shared" si="17"/>
        <v>0.75373575619151489</v>
      </c>
      <c r="T165">
        <f t="shared" si="18"/>
        <v>-0.28271342837765234</v>
      </c>
    </row>
    <row r="166" spans="1:20" x14ac:dyDescent="0.3">
      <c r="A166">
        <v>57</v>
      </c>
      <c r="B166">
        <v>1</v>
      </c>
      <c r="C166">
        <v>4</v>
      </c>
      <c r="D166">
        <v>132</v>
      </c>
      <c r="E166">
        <v>207</v>
      </c>
      <c r="F166">
        <v>0</v>
      </c>
      <c r="G166">
        <v>0</v>
      </c>
      <c r="H166">
        <v>168</v>
      </c>
      <c r="I166">
        <v>1</v>
      </c>
      <c r="J166">
        <v>0</v>
      </c>
      <c r="K166">
        <v>1</v>
      </c>
      <c r="L166">
        <v>0</v>
      </c>
      <c r="M166">
        <v>7</v>
      </c>
      <c r="N166">
        <v>0</v>
      </c>
      <c r="O166">
        <f t="shared" si="13"/>
        <v>-0.39348802457072685</v>
      </c>
      <c r="P166">
        <f t="shared" si="14"/>
        <v>0.40287791254579136</v>
      </c>
      <c r="Q166">
        <f t="shared" si="15"/>
        <v>0</v>
      </c>
      <c r="R166">
        <f t="shared" si="16"/>
        <v>0</v>
      </c>
      <c r="S166">
        <f t="shared" si="17"/>
        <v>0.59712208745420869</v>
      </c>
      <c r="T166">
        <f t="shared" si="18"/>
        <v>-0.51563368489879691</v>
      </c>
    </row>
    <row r="167" spans="1:20" x14ac:dyDescent="0.3">
      <c r="A167">
        <v>54</v>
      </c>
      <c r="B167">
        <v>0</v>
      </c>
      <c r="C167">
        <v>2</v>
      </c>
      <c r="D167">
        <v>132</v>
      </c>
      <c r="E167">
        <v>288</v>
      </c>
      <c r="F167">
        <v>1</v>
      </c>
      <c r="G167">
        <v>2</v>
      </c>
      <c r="H167">
        <v>159</v>
      </c>
      <c r="I167">
        <v>1</v>
      </c>
      <c r="J167">
        <v>0</v>
      </c>
      <c r="K167">
        <v>1</v>
      </c>
      <c r="L167">
        <v>1</v>
      </c>
      <c r="M167">
        <v>3</v>
      </c>
      <c r="N167">
        <v>0</v>
      </c>
      <c r="O167">
        <f t="shared" si="13"/>
        <v>-1.7730052650074994</v>
      </c>
      <c r="P167">
        <f t="shared" si="14"/>
        <v>0.14516899287683052</v>
      </c>
      <c r="Q167">
        <f t="shared" si="15"/>
        <v>0</v>
      </c>
      <c r="R167">
        <f t="shared" si="16"/>
        <v>0</v>
      </c>
      <c r="S167">
        <f t="shared" si="17"/>
        <v>0.85483100712316951</v>
      </c>
      <c r="T167">
        <f t="shared" si="18"/>
        <v>-0.15685148206872504</v>
      </c>
    </row>
    <row r="168" spans="1:20" x14ac:dyDescent="0.3">
      <c r="A168">
        <v>35</v>
      </c>
      <c r="B168">
        <v>1</v>
      </c>
      <c r="C168">
        <v>4</v>
      </c>
      <c r="D168">
        <v>126</v>
      </c>
      <c r="E168">
        <v>282</v>
      </c>
      <c r="F168">
        <v>0</v>
      </c>
      <c r="G168">
        <v>2</v>
      </c>
      <c r="H168">
        <v>156</v>
      </c>
      <c r="I168">
        <v>1</v>
      </c>
      <c r="J168">
        <v>0</v>
      </c>
      <c r="K168">
        <v>1</v>
      </c>
      <c r="L168">
        <v>0</v>
      </c>
      <c r="M168">
        <v>7</v>
      </c>
      <c r="N168">
        <v>1</v>
      </c>
      <c r="O168">
        <f t="shared" si="13"/>
        <v>1.7111500400435218</v>
      </c>
      <c r="P168">
        <f t="shared" si="14"/>
        <v>0.84698539021829655</v>
      </c>
      <c r="Q168">
        <f t="shared" si="15"/>
        <v>1</v>
      </c>
      <c r="R168">
        <f t="shared" si="16"/>
        <v>0</v>
      </c>
      <c r="S168">
        <f t="shared" si="17"/>
        <v>0.84698539021829655</v>
      </c>
      <c r="T168">
        <f t="shared" si="18"/>
        <v>-0.16607183333563863</v>
      </c>
    </row>
    <row r="169" spans="1:20" x14ac:dyDescent="0.3">
      <c r="A169">
        <v>45</v>
      </c>
      <c r="B169">
        <v>0</v>
      </c>
      <c r="C169">
        <v>2</v>
      </c>
      <c r="D169">
        <v>112</v>
      </c>
      <c r="E169">
        <v>160</v>
      </c>
      <c r="F169">
        <v>0</v>
      </c>
      <c r="G169">
        <v>0</v>
      </c>
      <c r="H169">
        <v>138</v>
      </c>
      <c r="I169">
        <v>0</v>
      </c>
      <c r="J169">
        <v>0</v>
      </c>
      <c r="K169">
        <v>2</v>
      </c>
      <c r="L169">
        <v>0</v>
      </c>
      <c r="M169">
        <v>3</v>
      </c>
      <c r="N169">
        <v>0</v>
      </c>
      <c r="O169">
        <f t="shared" si="13"/>
        <v>-2.7881911034076112</v>
      </c>
      <c r="P169">
        <f t="shared" si="14"/>
        <v>5.7965652279739599E-2</v>
      </c>
      <c r="Q169">
        <f t="shared" si="15"/>
        <v>0</v>
      </c>
      <c r="R169">
        <f t="shared" si="16"/>
        <v>0</v>
      </c>
      <c r="S169">
        <f t="shared" si="17"/>
        <v>0.9420343477202604</v>
      </c>
      <c r="T169">
        <f t="shared" si="18"/>
        <v>-5.9713542522469402E-2</v>
      </c>
    </row>
    <row r="170" spans="1:20" x14ac:dyDescent="0.3">
      <c r="A170">
        <v>70</v>
      </c>
      <c r="B170">
        <v>1</v>
      </c>
      <c r="C170">
        <v>3</v>
      </c>
      <c r="D170">
        <v>160</v>
      </c>
      <c r="E170">
        <v>269</v>
      </c>
      <c r="F170">
        <v>0</v>
      </c>
      <c r="G170">
        <v>0</v>
      </c>
      <c r="H170">
        <v>112</v>
      </c>
      <c r="I170">
        <v>1</v>
      </c>
      <c r="J170">
        <v>2.9</v>
      </c>
      <c r="K170">
        <v>2</v>
      </c>
      <c r="L170">
        <v>1</v>
      </c>
      <c r="M170">
        <v>7</v>
      </c>
      <c r="N170">
        <v>1</v>
      </c>
      <c r="O170">
        <f t="shared" si="13"/>
        <v>3.6911594344313912</v>
      </c>
      <c r="P170">
        <f t="shared" si="14"/>
        <v>0.97566395025920138</v>
      </c>
      <c r="Q170">
        <f t="shared" si="15"/>
        <v>1</v>
      </c>
      <c r="R170">
        <f t="shared" si="16"/>
        <v>0</v>
      </c>
      <c r="S170">
        <f t="shared" si="17"/>
        <v>0.97566395025920138</v>
      </c>
      <c r="T170">
        <f t="shared" si="18"/>
        <v>-2.4637065117479519E-2</v>
      </c>
    </row>
    <row r="171" spans="1:20" x14ac:dyDescent="0.3">
      <c r="A171">
        <v>53</v>
      </c>
      <c r="B171">
        <v>1</v>
      </c>
      <c r="C171">
        <v>4</v>
      </c>
      <c r="D171">
        <v>142</v>
      </c>
      <c r="E171">
        <v>226</v>
      </c>
      <c r="F171">
        <v>0</v>
      </c>
      <c r="G171">
        <v>2</v>
      </c>
      <c r="H171">
        <v>111</v>
      </c>
      <c r="I171">
        <v>1</v>
      </c>
      <c r="J171">
        <v>0</v>
      </c>
      <c r="K171">
        <v>1</v>
      </c>
      <c r="L171">
        <v>0</v>
      </c>
      <c r="M171">
        <v>7</v>
      </c>
      <c r="N171">
        <v>0</v>
      </c>
      <c r="O171">
        <f t="shared" si="13"/>
        <v>2.7237969282563159</v>
      </c>
      <c r="P171">
        <f t="shared" si="14"/>
        <v>0.93841632809867359</v>
      </c>
      <c r="Q171">
        <f t="shared" si="15"/>
        <v>1</v>
      </c>
      <c r="R171">
        <f t="shared" si="16"/>
        <v>1</v>
      </c>
      <c r="S171">
        <f t="shared" si="17"/>
        <v>6.1583671901326409E-2</v>
      </c>
      <c r="T171">
        <f t="shared" si="18"/>
        <v>-2.7873585101159155</v>
      </c>
    </row>
    <row r="172" spans="1:20" x14ac:dyDescent="0.3">
      <c r="A172">
        <v>59</v>
      </c>
      <c r="B172">
        <v>0</v>
      </c>
      <c r="C172">
        <v>4</v>
      </c>
      <c r="D172">
        <v>174</v>
      </c>
      <c r="E172">
        <v>249</v>
      </c>
      <c r="F172">
        <v>0</v>
      </c>
      <c r="G172">
        <v>0</v>
      </c>
      <c r="H172">
        <v>143</v>
      </c>
      <c r="I172">
        <v>1</v>
      </c>
      <c r="J172">
        <v>0</v>
      </c>
      <c r="K172">
        <v>2</v>
      </c>
      <c r="L172">
        <v>0</v>
      </c>
      <c r="M172">
        <v>3</v>
      </c>
      <c r="N172">
        <v>1</v>
      </c>
      <c r="O172">
        <f t="shared" si="13"/>
        <v>-0.85554656702087817</v>
      </c>
      <c r="P172">
        <f t="shared" si="14"/>
        <v>0.2982706344184563</v>
      </c>
      <c r="Q172">
        <f t="shared" si="15"/>
        <v>0</v>
      </c>
      <c r="R172">
        <f t="shared" si="16"/>
        <v>1</v>
      </c>
      <c r="S172">
        <f t="shared" si="17"/>
        <v>0.2982706344184563</v>
      </c>
      <c r="T172">
        <f t="shared" si="18"/>
        <v>-1.2097540354234129</v>
      </c>
    </row>
    <row r="173" spans="1:20" x14ac:dyDescent="0.3">
      <c r="A173">
        <v>62</v>
      </c>
      <c r="B173">
        <v>0</v>
      </c>
      <c r="C173">
        <v>4</v>
      </c>
      <c r="D173">
        <v>140</v>
      </c>
      <c r="E173">
        <v>394</v>
      </c>
      <c r="F173">
        <v>0</v>
      </c>
      <c r="G173">
        <v>2</v>
      </c>
      <c r="H173">
        <v>157</v>
      </c>
      <c r="I173">
        <v>0</v>
      </c>
      <c r="J173">
        <v>1.2</v>
      </c>
      <c r="K173">
        <v>2</v>
      </c>
      <c r="L173">
        <v>0</v>
      </c>
      <c r="M173">
        <v>3</v>
      </c>
      <c r="N173">
        <v>0</v>
      </c>
      <c r="O173">
        <f t="shared" si="13"/>
        <v>-1.6095635044328143</v>
      </c>
      <c r="P173">
        <f t="shared" si="14"/>
        <v>0.16664922406375202</v>
      </c>
      <c r="Q173">
        <f t="shared" si="15"/>
        <v>0</v>
      </c>
      <c r="R173">
        <f t="shared" si="16"/>
        <v>0</v>
      </c>
      <c r="S173">
        <f t="shared" si="17"/>
        <v>0.83335077593624796</v>
      </c>
      <c r="T173">
        <f t="shared" si="18"/>
        <v>-0.18230062588950999</v>
      </c>
    </row>
    <row r="174" spans="1:20" x14ac:dyDescent="0.3">
      <c r="A174">
        <v>64</v>
      </c>
      <c r="B174">
        <v>1</v>
      </c>
      <c r="C174">
        <v>4</v>
      </c>
      <c r="D174">
        <v>145</v>
      </c>
      <c r="E174">
        <v>212</v>
      </c>
      <c r="F174">
        <v>0</v>
      </c>
      <c r="G174">
        <v>2</v>
      </c>
      <c r="H174">
        <v>132</v>
      </c>
      <c r="I174">
        <v>0</v>
      </c>
      <c r="J174">
        <v>2</v>
      </c>
      <c r="K174">
        <v>2</v>
      </c>
      <c r="L174">
        <v>2</v>
      </c>
      <c r="M174">
        <v>6</v>
      </c>
      <c r="N174">
        <v>1</v>
      </c>
      <c r="O174">
        <f t="shared" si="13"/>
        <v>3.5960054919063165</v>
      </c>
      <c r="P174">
        <f t="shared" si="14"/>
        <v>0.9732993944385675</v>
      </c>
      <c r="Q174">
        <f t="shared" si="15"/>
        <v>1</v>
      </c>
      <c r="R174">
        <f t="shared" si="16"/>
        <v>0</v>
      </c>
      <c r="S174">
        <f t="shared" si="17"/>
        <v>0.9732993944385675</v>
      </c>
      <c r="T174">
        <f t="shared" si="18"/>
        <v>-2.7063541723346667E-2</v>
      </c>
    </row>
    <row r="175" spans="1:20" x14ac:dyDescent="0.3">
      <c r="A175">
        <v>57</v>
      </c>
      <c r="B175">
        <v>1</v>
      </c>
      <c r="C175">
        <v>4</v>
      </c>
      <c r="D175">
        <v>152</v>
      </c>
      <c r="E175">
        <v>274</v>
      </c>
      <c r="F175">
        <v>0</v>
      </c>
      <c r="G175">
        <v>0</v>
      </c>
      <c r="H175">
        <v>88</v>
      </c>
      <c r="I175">
        <v>1</v>
      </c>
      <c r="J175">
        <v>1.2</v>
      </c>
      <c r="K175">
        <v>2</v>
      </c>
      <c r="L175">
        <v>1</v>
      </c>
      <c r="M175">
        <v>7</v>
      </c>
      <c r="N175">
        <v>1</v>
      </c>
      <c r="O175">
        <f t="shared" si="13"/>
        <v>5.0062229147828958</v>
      </c>
      <c r="P175">
        <f t="shared" si="14"/>
        <v>0.99334839262296837</v>
      </c>
      <c r="Q175">
        <f t="shared" si="15"/>
        <v>1</v>
      </c>
      <c r="R175">
        <f t="shared" si="16"/>
        <v>0</v>
      </c>
      <c r="S175">
        <f t="shared" si="17"/>
        <v>0.99334839262296837</v>
      </c>
      <c r="T175">
        <f t="shared" si="18"/>
        <v>-6.6738279070206975E-3</v>
      </c>
    </row>
    <row r="176" spans="1:20" x14ac:dyDescent="0.3">
      <c r="A176">
        <v>52</v>
      </c>
      <c r="B176">
        <v>1</v>
      </c>
      <c r="C176">
        <v>4</v>
      </c>
      <c r="D176">
        <v>108</v>
      </c>
      <c r="E176">
        <v>233</v>
      </c>
      <c r="F176">
        <v>1</v>
      </c>
      <c r="G176">
        <v>0</v>
      </c>
      <c r="H176">
        <v>147</v>
      </c>
      <c r="I176">
        <v>0</v>
      </c>
      <c r="J176">
        <v>0.1</v>
      </c>
      <c r="K176">
        <v>1</v>
      </c>
      <c r="L176">
        <v>3</v>
      </c>
      <c r="M176">
        <v>7</v>
      </c>
      <c r="N176">
        <v>0</v>
      </c>
      <c r="O176">
        <f t="shared" si="13"/>
        <v>2.539244626659495</v>
      </c>
      <c r="P176">
        <f t="shared" si="14"/>
        <v>0.92684762794269704</v>
      </c>
      <c r="Q176">
        <f t="shared" si="15"/>
        <v>1</v>
      </c>
      <c r="R176">
        <f t="shared" si="16"/>
        <v>1</v>
      </c>
      <c r="S176">
        <f t="shared" si="17"/>
        <v>7.3152372057302961E-2</v>
      </c>
      <c r="T176">
        <f t="shared" si="18"/>
        <v>-2.6152107247375476</v>
      </c>
    </row>
    <row r="177" spans="1:20" x14ac:dyDescent="0.3">
      <c r="A177">
        <v>56</v>
      </c>
      <c r="B177">
        <v>1</v>
      </c>
      <c r="C177">
        <v>4</v>
      </c>
      <c r="D177">
        <v>132</v>
      </c>
      <c r="E177">
        <v>184</v>
      </c>
      <c r="F177">
        <v>0</v>
      </c>
      <c r="G177">
        <v>2</v>
      </c>
      <c r="H177">
        <v>105</v>
      </c>
      <c r="I177">
        <v>1</v>
      </c>
      <c r="J177">
        <v>2.1</v>
      </c>
      <c r="K177">
        <v>2</v>
      </c>
      <c r="L177">
        <v>1</v>
      </c>
      <c r="M177">
        <v>6</v>
      </c>
      <c r="N177">
        <v>1</v>
      </c>
      <c r="O177">
        <f t="shared" si="13"/>
        <v>4.3217921507950718</v>
      </c>
      <c r="P177">
        <f t="shared" si="14"/>
        <v>0.9868978752278188</v>
      </c>
      <c r="Q177">
        <f t="shared" si="15"/>
        <v>1</v>
      </c>
      <c r="R177">
        <f t="shared" si="16"/>
        <v>0</v>
      </c>
      <c r="S177">
        <f t="shared" si="17"/>
        <v>0.9868978752278188</v>
      </c>
      <c r="T177">
        <f t="shared" si="18"/>
        <v>-1.3188714782662229E-2</v>
      </c>
    </row>
    <row r="178" spans="1:20" x14ac:dyDescent="0.3">
      <c r="A178">
        <v>43</v>
      </c>
      <c r="B178">
        <v>1</v>
      </c>
      <c r="C178">
        <v>3</v>
      </c>
      <c r="D178">
        <v>130</v>
      </c>
      <c r="E178">
        <v>315</v>
      </c>
      <c r="F178">
        <v>0</v>
      </c>
      <c r="G178">
        <v>0</v>
      </c>
      <c r="H178">
        <v>162</v>
      </c>
      <c r="I178">
        <v>0</v>
      </c>
      <c r="J178">
        <v>1.9</v>
      </c>
      <c r="K178">
        <v>1</v>
      </c>
      <c r="L178">
        <v>1</v>
      </c>
      <c r="M178">
        <v>3</v>
      </c>
      <c r="N178">
        <v>0</v>
      </c>
      <c r="O178">
        <f t="shared" si="13"/>
        <v>-0.14227598459124335</v>
      </c>
      <c r="P178">
        <f t="shared" si="14"/>
        <v>0.46449088296442009</v>
      </c>
      <c r="Q178">
        <f t="shared" si="15"/>
        <v>0</v>
      </c>
      <c r="R178">
        <f t="shared" si="16"/>
        <v>0</v>
      </c>
      <c r="S178">
        <f t="shared" si="17"/>
        <v>0.53550911703557991</v>
      </c>
      <c r="T178">
        <f t="shared" si="18"/>
        <v>-0.62453736396273551</v>
      </c>
    </row>
    <row r="179" spans="1:20" x14ac:dyDescent="0.3">
      <c r="A179">
        <v>53</v>
      </c>
      <c r="B179">
        <v>1</v>
      </c>
      <c r="C179">
        <v>3</v>
      </c>
      <c r="D179">
        <v>130</v>
      </c>
      <c r="E179">
        <v>246</v>
      </c>
      <c r="F179">
        <v>1</v>
      </c>
      <c r="G179">
        <v>2</v>
      </c>
      <c r="H179">
        <v>173</v>
      </c>
      <c r="I179">
        <v>0</v>
      </c>
      <c r="J179">
        <v>0</v>
      </c>
      <c r="K179">
        <v>1</v>
      </c>
      <c r="L179">
        <v>3</v>
      </c>
      <c r="M179">
        <v>3</v>
      </c>
      <c r="N179">
        <v>0</v>
      </c>
      <c r="O179">
        <f t="shared" si="13"/>
        <v>0.6140547419903073</v>
      </c>
      <c r="P179">
        <f t="shared" si="14"/>
        <v>0.64886518777488966</v>
      </c>
      <c r="Q179">
        <f t="shared" si="15"/>
        <v>1</v>
      </c>
      <c r="R179">
        <f t="shared" si="16"/>
        <v>1</v>
      </c>
      <c r="S179">
        <f t="shared" si="17"/>
        <v>0.35113481222511034</v>
      </c>
      <c r="T179">
        <f t="shared" si="18"/>
        <v>-1.0465850488428527</v>
      </c>
    </row>
    <row r="180" spans="1:20" x14ac:dyDescent="0.3">
      <c r="A180">
        <v>48</v>
      </c>
      <c r="B180">
        <v>1</v>
      </c>
      <c r="C180">
        <v>4</v>
      </c>
      <c r="D180">
        <v>124</v>
      </c>
      <c r="E180">
        <v>274</v>
      </c>
      <c r="F180">
        <v>0</v>
      </c>
      <c r="G180">
        <v>2</v>
      </c>
      <c r="H180">
        <v>166</v>
      </c>
      <c r="I180">
        <v>0</v>
      </c>
      <c r="J180">
        <v>0.5</v>
      </c>
      <c r="K180">
        <v>2</v>
      </c>
      <c r="L180">
        <v>0</v>
      </c>
      <c r="M180">
        <v>7</v>
      </c>
      <c r="N180">
        <v>1</v>
      </c>
      <c r="O180">
        <f t="shared" si="13"/>
        <v>0.29886520553767326</v>
      </c>
      <c r="P180">
        <f t="shared" si="14"/>
        <v>0.57416508346633033</v>
      </c>
      <c r="Q180">
        <f t="shared" si="15"/>
        <v>1</v>
      </c>
      <c r="R180">
        <f t="shared" si="16"/>
        <v>0</v>
      </c>
      <c r="S180">
        <f t="shared" si="17"/>
        <v>0.57416508346633033</v>
      </c>
      <c r="T180">
        <f t="shared" si="18"/>
        <v>-0.55483832215433859</v>
      </c>
    </row>
    <row r="181" spans="1:20" x14ac:dyDescent="0.3">
      <c r="A181">
        <v>56</v>
      </c>
      <c r="B181">
        <v>0</v>
      </c>
      <c r="C181">
        <v>4</v>
      </c>
      <c r="D181">
        <v>134</v>
      </c>
      <c r="E181">
        <v>409</v>
      </c>
      <c r="F181">
        <v>0</v>
      </c>
      <c r="G181">
        <v>2</v>
      </c>
      <c r="H181">
        <v>150</v>
      </c>
      <c r="I181">
        <v>1</v>
      </c>
      <c r="J181">
        <v>1.9</v>
      </c>
      <c r="K181">
        <v>2</v>
      </c>
      <c r="L181">
        <v>2</v>
      </c>
      <c r="M181">
        <v>7</v>
      </c>
      <c r="N181">
        <v>1</v>
      </c>
      <c r="O181">
        <f t="shared" si="13"/>
        <v>3.7979851650685692</v>
      </c>
      <c r="P181">
        <f t="shared" si="14"/>
        <v>0.97807556503107673</v>
      </c>
      <c r="Q181">
        <f t="shared" si="15"/>
        <v>1</v>
      </c>
      <c r="R181">
        <f t="shared" si="16"/>
        <v>0</v>
      </c>
      <c r="S181">
        <f t="shared" si="17"/>
        <v>0.97807556503107673</v>
      </c>
      <c r="T181">
        <f t="shared" si="18"/>
        <v>-2.2168347074143439E-2</v>
      </c>
    </row>
    <row r="182" spans="1:20" x14ac:dyDescent="0.3">
      <c r="A182">
        <v>42</v>
      </c>
      <c r="B182">
        <v>1</v>
      </c>
      <c r="C182">
        <v>1</v>
      </c>
      <c r="D182">
        <v>148</v>
      </c>
      <c r="E182">
        <v>244</v>
      </c>
      <c r="F182">
        <v>0</v>
      </c>
      <c r="G182">
        <v>2</v>
      </c>
      <c r="H182">
        <v>178</v>
      </c>
      <c r="I182">
        <v>0</v>
      </c>
      <c r="J182">
        <v>0.8</v>
      </c>
      <c r="K182">
        <v>1</v>
      </c>
      <c r="L182">
        <v>2</v>
      </c>
      <c r="M182">
        <v>3</v>
      </c>
      <c r="N182">
        <v>0</v>
      </c>
      <c r="O182">
        <f t="shared" si="13"/>
        <v>0.1349719627229593</v>
      </c>
      <c r="P182">
        <f t="shared" si="14"/>
        <v>0.53369185794650309</v>
      </c>
      <c r="Q182">
        <f t="shared" si="15"/>
        <v>1</v>
      </c>
      <c r="R182">
        <f t="shared" si="16"/>
        <v>1</v>
      </c>
      <c r="S182">
        <f t="shared" si="17"/>
        <v>0.46630814205349691</v>
      </c>
      <c r="T182">
        <f t="shared" si="18"/>
        <v>-0.76290861434347068</v>
      </c>
    </row>
    <row r="183" spans="1:20" x14ac:dyDescent="0.3">
      <c r="A183">
        <v>59</v>
      </c>
      <c r="B183">
        <v>1</v>
      </c>
      <c r="C183">
        <v>1</v>
      </c>
      <c r="D183">
        <v>178</v>
      </c>
      <c r="E183">
        <v>270</v>
      </c>
      <c r="F183">
        <v>0</v>
      </c>
      <c r="G183">
        <v>2</v>
      </c>
      <c r="H183">
        <v>145</v>
      </c>
      <c r="I183">
        <v>0</v>
      </c>
      <c r="J183">
        <v>4.2</v>
      </c>
      <c r="K183">
        <v>3</v>
      </c>
      <c r="L183">
        <v>0</v>
      </c>
      <c r="M183">
        <v>7</v>
      </c>
      <c r="N183">
        <v>0</v>
      </c>
      <c r="O183">
        <f t="shared" si="13"/>
        <v>1.5583501584711332</v>
      </c>
      <c r="P183">
        <f t="shared" si="14"/>
        <v>0.82611648397976556</v>
      </c>
      <c r="Q183">
        <f t="shared" si="15"/>
        <v>1</v>
      </c>
      <c r="R183">
        <f t="shared" si="16"/>
        <v>1</v>
      </c>
      <c r="S183">
        <f t="shared" si="17"/>
        <v>0.17388351602023444</v>
      </c>
      <c r="T183">
        <f t="shared" si="18"/>
        <v>-1.7493696521076565</v>
      </c>
    </row>
    <row r="184" spans="1:20" x14ac:dyDescent="0.3">
      <c r="A184">
        <v>60</v>
      </c>
      <c r="B184">
        <v>0</v>
      </c>
      <c r="C184">
        <v>4</v>
      </c>
      <c r="D184">
        <v>158</v>
      </c>
      <c r="E184">
        <v>305</v>
      </c>
      <c r="F184">
        <v>0</v>
      </c>
      <c r="G184">
        <v>2</v>
      </c>
      <c r="H184">
        <v>161</v>
      </c>
      <c r="I184">
        <v>0</v>
      </c>
      <c r="J184">
        <v>0</v>
      </c>
      <c r="K184">
        <v>1</v>
      </c>
      <c r="L184">
        <v>0</v>
      </c>
      <c r="M184">
        <v>3</v>
      </c>
      <c r="N184">
        <v>1</v>
      </c>
      <c r="O184">
        <f t="shared" si="13"/>
        <v>-2.2481932576063768</v>
      </c>
      <c r="P184">
        <f t="shared" si="14"/>
        <v>9.5505424763839691E-2</v>
      </c>
      <c r="Q184">
        <f t="shared" si="15"/>
        <v>0</v>
      </c>
      <c r="R184">
        <f t="shared" si="16"/>
        <v>1</v>
      </c>
      <c r="S184">
        <f t="shared" si="17"/>
        <v>9.5505424763839691E-2</v>
      </c>
      <c r="T184">
        <f t="shared" si="18"/>
        <v>-2.3485722292988882</v>
      </c>
    </row>
    <row r="185" spans="1:20" x14ac:dyDescent="0.3">
      <c r="A185">
        <v>63</v>
      </c>
      <c r="B185">
        <v>0</v>
      </c>
      <c r="C185">
        <v>2</v>
      </c>
      <c r="D185">
        <v>140</v>
      </c>
      <c r="E185">
        <v>195</v>
      </c>
      <c r="F185">
        <v>0</v>
      </c>
      <c r="G185">
        <v>0</v>
      </c>
      <c r="H185">
        <v>179</v>
      </c>
      <c r="I185">
        <v>0</v>
      </c>
      <c r="J185">
        <v>0</v>
      </c>
      <c r="K185">
        <v>1</v>
      </c>
      <c r="L185">
        <v>2</v>
      </c>
      <c r="M185">
        <v>3</v>
      </c>
      <c r="N185">
        <v>0</v>
      </c>
      <c r="O185">
        <f t="shared" si="13"/>
        <v>-2.4412588568042235</v>
      </c>
      <c r="P185">
        <f t="shared" si="14"/>
        <v>8.0080126555115788E-2</v>
      </c>
      <c r="Q185">
        <f t="shared" si="15"/>
        <v>0</v>
      </c>
      <c r="R185">
        <f t="shared" si="16"/>
        <v>0</v>
      </c>
      <c r="S185">
        <f t="shared" si="17"/>
        <v>0.91991987344488424</v>
      </c>
      <c r="T185">
        <f t="shared" si="18"/>
        <v>-8.3468706813608379E-2</v>
      </c>
    </row>
    <row r="186" spans="1:20" x14ac:dyDescent="0.3">
      <c r="A186">
        <v>42</v>
      </c>
      <c r="B186">
        <v>1</v>
      </c>
      <c r="C186">
        <v>3</v>
      </c>
      <c r="D186">
        <v>120</v>
      </c>
      <c r="E186">
        <v>240</v>
      </c>
      <c r="F186">
        <v>1</v>
      </c>
      <c r="G186">
        <v>0</v>
      </c>
      <c r="H186">
        <v>194</v>
      </c>
      <c r="I186">
        <v>0</v>
      </c>
      <c r="J186">
        <v>0.8</v>
      </c>
      <c r="K186">
        <v>3</v>
      </c>
      <c r="L186">
        <v>0</v>
      </c>
      <c r="M186">
        <v>7</v>
      </c>
      <c r="N186">
        <v>0</v>
      </c>
      <c r="O186">
        <f t="shared" si="13"/>
        <v>-1.9694592830710662</v>
      </c>
      <c r="P186">
        <f t="shared" si="14"/>
        <v>0.1224469770052469</v>
      </c>
      <c r="Q186">
        <f t="shared" si="15"/>
        <v>0</v>
      </c>
      <c r="R186">
        <f t="shared" si="16"/>
        <v>0</v>
      </c>
      <c r="S186">
        <f t="shared" si="17"/>
        <v>0.87755302299475313</v>
      </c>
      <c r="T186">
        <f t="shared" si="18"/>
        <v>-0.13061790040239116</v>
      </c>
    </row>
    <row r="187" spans="1:20" x14ac:dyDescent="0.3">
      <c r="A187">
        <v>66</v>
      </c>
      <c r="B187">
        <v>1</v>
      </c>
      <c r="C187">
        <v>2</v>
      </c>
      <c r="D187">
        <v>160</v>
      </c>
      <c r="E187">
        <v>246</v>
      </c>
      <c r="F187">
        <v>0</v>
      </c>
      <c r="G187">
        <v>0</v>
      </c>
      <c r="H187">
        <v>120</v>
      </c>
      <c r="I187">
        <v>1</v>
      </c>
      <c r="J187">
        <v>0</v>
      </c>
      <c r="K187">
        <v>2</v>
      </c>
      <c r="L187">
        <v>3</v>
      </c>
      <c r="M187">
        <v>6</v>
      </c>
      <c r="N187">
        <v>1</v>
      </c>
      <c r="O187">
        <f t="shared" si="13"/>
        <v>4.4979451292827708</v>
      </c>
      <c r="P187">
        <f t="shared" si="14"/>
        <v>0.98899070622026397</v>
      </c>
      <c r="Q187">
        <f t="shared" si="15"/>
        <v>1</v>
      </c>
      <c r="R187">
        <f t="shared" si="16"/>
        <v>0</v>
      </c>
      <c r="S187">
        <f t="shared" si="17"/>
        <v>0.98899070622026397</v>
      </c>
      <c r="T187">
        <f t="shared" si="18"/>
        <v>-1.1070344551946491E-2</v>
      </c>
    </row>
    <row r="188" spans="1:20" x14ac:dyDescent="0.3">
      <c r="A188">
        <v>54</v>
      </c>
      <c r="B188">
        <v>1</v>
      </c>
      <c r="C188">
        <v>2</v>
      </c>
      <c r="D188">
        <v>192</v>
      </c>
      <c r="E188">
        <v>283</v>
      </c>
      <c r="F188">
        <v>0</v>
      </c>
      <c r="G188">
        <v>2</v>
      </c>
      <c r="H188">
        <v>195</v>
      </c>
      <c r="I188">
        <v>0</v>
      </c>
      <c r="J188">
        <v>0</v>
      </c>
      <c r="K188">
        <v>1</v>
      </c>
      <c r="L188">
        <v>1</v>
      </c>
      <c r="M188">
        <v>7</v>
      </c>
      <c r="N188">
        <v>1</v>
      </c>
      <c r="O188">
        <f t="shared" si="13"/>
        <v>2.7666699384167437E-2</v>
      </c>
      <c r="P188">
        <f t="shared" si="14"/>
        <v>0.50691623368457228</v>
      </c>
      <c r="Q188">
        <f t="shared" si="15"/>
        <v>1</v>
      </c>
      <c r="R188">
        <f t="shared" si="16"/>
        <v>0</v>
      </c>
      <c r="S188">
        <f t="shared" si="17"/>
        <v>0.50691623368457228</v>
      </c>
      <c r="T188">
        <f t="shared" si="18"/>
        <v>-0.6794095085982651</v>
      </c>
    </row>
    <row r="189" spans="1:20" x14ac:dyDescent="0.3">
      <c r="A189">
        <v>69</v>
      </c>
      <c r="B189">
        <v>1</v>
      </c>
      <c r="C189">
        <v>3</v>
      </c>
      <c r="D189">
        <v>140</v>
      </c>
      <c r="E189">
        <v>254</v>
      </c>
      <c r="F189">
        <v>0</v>
      </c>
      <c r="G189">
        <v>2</v>
      </c>
      <c r="H189">
        <v>146</v>
      </c>
      <c r="I189">
        <v>0</v>
      </c>
      <c r="J189">
        <v>2</v>
      </c>
      <c r="K189">
        <v>2</v>
      </c>
      <c r="L189">
        <v>3</v>
      </c>
      <c r="M189">
        <v>7</v>
      </c>
      <c r="N189">
        <v>1</v>
      </c>
      <c r="O189">
        <f t="shared" si="13"/>
        <v>4.0916498581380685</v>
      </c>
      <c r="P189">
        <f t="shared" si="14"/>
        <v>0.98356304941617823</v>
      </c>
      <c r="Q189">
        <f t="shared" si="15"/>
        <v>1</v>
      </c>
      <c r="R189">
        <f t="shared" si="16"/>
        <v>0</v>
      </c>
      <c r="S189">
        <f t="shared" si="17"/>
        <v>0.98356304941617823</v>
      </c>
      <c r="T189">
        <f t="shared" si="18"/>
        <v>-1.6573536023074834E-2</v>
      </c>
    </row>
    <row r="190" spans="1:20" x14ac:dyDescent="0.3">
      <c r="A190">
        <v>50</v>
      </c>
      <c r="B190">
        <v>1</v>
      </c>
      <c r="C190">
        <v>3</v>
      </c>
      <c r="D190">
        <v>129</v>
      </c>
      <c r="E190">
        <v>196</v>
      </c>
      <c r="F190">
        <v>0</v>
      </c>
      <c r="G190">
        <v>0</v>
      </c>
      <c r="H190">
        <v>163</v>
      </c>
      <c r="I190">
        <v>0</v>
      </c>
      <c r="J190">
        <v>0</v>
      </c>
      <c r="K190">
        <v>1</v>
      </c>
      <c r="L190">
        <v>0</v>
      </c>
      <c r="M190">
        <v>3</v>
      </c>
      <c r="N190">
        <v>0</v>
      </c>
      <c r="O190">
        <f t="shared" si="13"/>
        <v>-2.5754033766199127</v>
      </c>
      <c r="P190">
        <f t="shared" si="14"/>
        <v>7.073829155010064E-2</v>
      </c>
      <c r="Q190">
        <f t="shared" si="15"/>
        <v>0</v>
      </c>
      <c r="R190">
        <f t="shared" si="16"/>
        <v>0</v>
      </c>
      <c r="S190">
        <f t="shared" si="17"/>
        <v>0.9292617084498993</v>
      </c>
      <c r="T190">
        <f t="shared" si="18"/>
        <v>-7.3364869991875539E-2</v>
      </c>
    </row>
    <row r="191" spans="1:20" x14ac:dyDescent="0.3">
      <c r="A191">
        <v>51</v>
      </c>
      <c r="B191">
        <v>1</v>
      </c>
      <c r="C191">
        <v>4</v>
      </c>
      <c r="D191">
        <v>140</v>
      </c>
      <c r="E191">
        <v>298</v>
      </c>
      <c r="F191">
        <v>0</v>
      </c>
      <c r="G191">
        <v>0</v>
      </c>
      <c r="H191">
        <v>122</v>
      </c>
      <c r="I191">
        <v>1</v>
      </c>
      <c r="J191">
        <v>4.2</v>
      </c>
      <c r="K191">
        <v>2</v>
      </c>
      <c r="L191">
        <v>3</v>
      </c>
      <c r="M191">
        <v>7</v>
      </c>
      <c r="N191">
        <v>1</v>
      </c>
      <c r="O191">
        <f t="shared" si="13"/>
        <v>7.1656048667900105</v>
      </c>
      <c r="P191">
        <f t="shared" si="14"/>
        <v>0.9992278851733768</v>
      </c>
      <c r="Q191">
        <f t="shared" si="15"/>
        <v>1</v>
      </c>
      <c r="R191">
        <f t="shared" si="16"/>
        <v>0</v>
      </c>
      <c r="S191">
        <f t="shared" si="17"/>
        <v>0.9992278851733768</v>
      </c>
      <c r="T191">
        <f t="shared" si="18"/>
        <v>-7.7241306079985181E-4</v>
      </c>
    </row>
    <row r="192" spans="1:20" x14ac:dyDescent="0.3">
      <c r="A192">
        <v>62</v>
      </c>
      <c r="B192">
        <v>0</v>
      </c>
      <c r="C192">
        <v>4</v>
      </c>
      <c r="D192">
        <v>138</v>
      </c>
      <c r="E192">
        <v>294</v>
      </c>
      <c r="F192">
        <v>1</v>
      </c>
      <c r="G192">
        <v>0</v>
      </c>
      <c r="H192">
        <v>106</v>
      </c>
      <c r="I192">
        <v>0</v>
      </c>
      <c r="J192">
        <v>1.9</v>
      </c>
      <c r="K192">
        <v>2</v>
      </c>
      <c r="L192">
        <v>3</v>
      </c>
      <c r="M192">
        <v>3</v>
      </c>
      <c r="N192">
        <v>1</v>
      </c>
      <c r="O192">
        <f t="shared" si="13"/>
        <v>2.6831257408299924</v>
      </c>
      <c r="P192">
        <f t="shared" si="14"/>
        <v>0.9360235590606707</v>
      </c>
      <c r="Q192">
        <f t="shared" si="15"/>
        <v>1</v>
      </c>
      <c r="R192">
        <f t="shared" si="16"/>
        <v>0</v>
      </c>
      <c r="S192">
        <f t="shared" si="17"/>
        <v>0.9360235590606707</v>
      </c>
      <c r="T192">
        <f t="shared" si="18"/>
        <v>-6.6114632884688551E-2</v>
      </c>
    </row>
    <row r="193" spans="1:20" x14ac:dyDescent="0.3">
      <c r="A193">
        <v>68</v>
      </c>
      <c r="B193">
        <v>0</v>
      </c>
      <c r="C193">
        <v>3</v>
      </c>
      <c r="D193">
        <v>120</v>
      </c>
      <c r="E193">
        <v>211</v>
      </c>
      <c r="F193">
        <v>0</v>
      </c>
      <c r="G193">
        <v>2</v>
      </c>
      <c r="H193">
        <v>115</v>
      </c>
      <c r="I193">
        <v>0</v>
      </c>
      <c r="J193">
        <v>1.5</v>
      </c>
      <c r="K193">
        <v>2</v>
      </c>
      <c r="L193">
        <v>0</v>
      </c>
      <c r="M193">
        <v>3</v>
      </c>
      <c r="N193">
        <v>0</v>
      </c>
      <c r="O193">
        <f t="shared" si="13"/>
        <v>-1.3416365306007036</v>
      </c>
      <c r="P193">
        <f t="shared" si="14"/>
        <v>0.20724106052205268</v>
      </c>
      <c r="Q193">
        <f t="shared" si="15"/>
        <v>0</v>
      </c>
      <c r="R193">
        <f t="shared" si="16"/>
        <v>0</v>
      </c>
      <c r="S193">
        <f t="shared" si="17"/>
        <v>0.79275893947794729</v>
      </c>
      <c r="T193">
        <f t="shared" si="18"/>
        <v>-0.23223608908617233</v>
      </c>
    </row>
    <row r="194" spans="1:20" x14ac:dyDescent="0.3">
      <c r="A194">
        <v>67</v>
      </c>
      <c r="B194">
        <v>1</v>
      </c>
      <c r="C194">
        <v>4</v>
      </c>
      <c r="D194">
        <v>100</v>
      </c>
      <c r="E194">
        <v>299</v>
      </c>
      <c r="F194">
        <v>0</v>
      </c>
      <c r="G194">
        <v>2</v>
      </c>
      <c r="H194">
        <v>125</v>
      </c>
      <c r="I194">
        <v>1</v>
      </c>
      <c r="J194">
        <v>0.9</v>
      </c>
      <c r="K194">
        <v>2</v>
      </c>
      <c r="L194">
        <v>2</v>
      </c>
      <c r="M194">
        <v>3</v>
      </c>
      <c r="N194">
        <v>1</v>
      </c>
      <c r="O194">
        <f t="shared" si="13"/>
        <v>2.7556984707795094</v>
      </c>
      <c r="P194">
        <f t="shared" si="14"/>
        <v>0.94023437243694219</v>
      </c>
      <c r="Q194">
        <f t="shared" si="15"/>
        <v>1</v>
      </c>
      <c r="R194">
        <f t="shared" si="16"/>
        <v>0</v>
      </c>
      <c r="S194">
        <f t="shared" si="17"/>
        <v>0.94023437243694219</v>
      </c>
      <c r="T194">
        <f t="shared" si="18"/>
        <v>-6.1626102416513777E-2</v>
      </c>
    </row>
    <row r="195" spans="1:20" x14ac:dyDescent="0.3">
      <c r="A195">
        <v>69</v>
      </c>
      <c r="B195">
        <v>1</v>
      </c>
      <c r="C195">
        <v>1</v>
      </c>
      <c r="D195">
        <v>160</v>
      </c>
      <c r="E195">
        <v>234</v>
      </c>
      <c r="F195">
        <v>1</v>
      </c>
      <c r="G195">
        <v>2</v>
      </c>
      <c r="H195">
        <v>131</v>
      </c>
      <c r="I195">
        <v>0</v>
      </c>
      <c r="J195">
        <v>0.1</v>
      </c>
      <c r="K195">
        <v>2</v>
      </c>
      <c r="L195">
        <v>1</v>
      </c>
      <c r="M195">
        <v>3</v>
      </c>
      <c r="N195">
        <v>0</v>
      </c>
      <c r="O195">
        <f t="shared" ref="O195:O258" si="19">SUMPRODUCT(A195:M195,W$6:AI$6)+AJ199</f>
        <v>-1.0185649849257263</v>
      </c>
      <c r="P195">
        <f t="shared" ref="P195:P258" si="20">1/(1+EXP(-O195))</f>
        <v>0.26530701831009601</v>
      </c>
      <c r="Q195">
        <f t="shared" ref="Q195:Q258" si="21">IF(P195&gt;0.5,1,0)</f>
        <v>0</v>
      </c>
      <c r="R195">
        <f t="shared" ref="R195:R258" si="22">IF(N195=Q195,0,1)</f>
        <v>0</v>
      </c>
      <c r="S195">
        <f t="shared" ref="S195:S258" si="23">IF(N195=1,P195,1-P195)</f>
        <v>0.73469298168990393</v>
      </c>
      <c r="T195">
        <f t="shared" ref="T195:T258" si="24">LN(S195)</f>
        <v>-0.30830257902177965</v>
      </c>
    </row>
    <row r="196" spans="1:20" x14ac:dyDescent="0.3">
      <c r="A196">
        <v>45</v>
      </c>
      <c r="B196">
        <v>0</v>
      </c>
      <c r="C196">
        <v>4</v>
      </c>
      <c r="D196">
        <v>138</v>
      </c>
      <c r="E196">
        <v>236</v>
      </c>
      <c r="F196">
        <v>0</v>
      </c>
      <c r="G196">
        <v>2</v>
      </c>
      <c r="H196">
        <v>152</v>
      </c>
      <c r="I196">
        <v>1</v>
      </c>
      <c r="J196">
        <v>0.2</v>
      </c>
      <c r="K196">
        <v>2</v>
      </c>
      <c r="L196">
        <v>0</v>
      </c>
      <c r="M196">
        <v>3</v>
      </c>
      <c r="N196">
        <v>0</v>
      </c>
      <c r="O196">
        <f t="shared" si="19"/>
        <v>-0.5336417207720241</v>
      </c>
      <c r="P196">
        <f t="shared" si="20"/>
        <v>0.36966791574332097</v>
      </c>
      <c r="Q196">
        <f t="shared" si="21"/>
        <v>0</v>
      </c>
      <c r="R196">
        <f t="shared" si="22"/>
        <v>0</v>
      </c>
      <c r="S196">
        <f t="shared" si="23"/>
        <v>0.63033208425667908</v>
      </c>
      <c r="T196">
        <f t="shared" si="24"/>
        <v>-0.46150848060663618</v>
      </c>
    </row>
    <row r="197" spans="1:20" x14ac:dyDescent="0.3">
      <c r="A197">
        <v>50</v>
      </c>
      <c r="B197">
        <v>0</v>
      </c>
      <c r="C197">
        <v>2</v>
      </c>
      <c r="D197">
        <v>120</v>
      </c>
      <c r="E197">
        <v>244</v>
      </c>
      <c r="F197">
        <v>0</v>
      </c>
      <c r="G197">
        <v>0</v>
      </c>
      <c r="H197">
        <v>162</v>
      </c>
      <c r="I197">
        <v>0</v>
      </c>
      <c r="J197">
        <v>1.1000000000000001</v>
      </c>
      <c r="K197">
        <v>1</v>
      </c>
      <c r="L197">
        <v>0</v>
      </c>
      <c r="M197">
        <v>3</v>
      </c>
      <c r="N197">
        <v>0</v>
      </c>
      <c r="O197">
        <f t="shared" si="19"/>
        <v>-3.5936087672035413</v>
      </c>
      <c r="P197">
        <f t="shared" si="20"/>
        <v>2.676296158863797E-2</v>
      </c>
      <c r="Q197">
        <f t="shared" si="21"/>
        <v>0</v>
      </c>
      <c r="R197">
        <f t="shared" si="22"/>
        <v>0</v>
      </c>
      <c r="S197">
        <f t="shared" si="23"/>
        <v>0.973237038411362</v>
      </c>
      <c r="T197">
        <f t="shared" si="24"/>
        <v>-2.7127610421136757E-2</v>
      </c>
    </row>
    <row r="198" spans="1:20" x14ac:dyDescent="0.3">
      <c r="A198">
        <v>59</v>
      </c>
      <c r="B198">
        <v>1</v>
      </c>
      <c r="C198">
        <v>1</v>
      </c>
      <c r="D198">
        <v>160</v>
      </c>
      <c r="E198">
        <v>273</v>
      </c>
      <c r="F198">
        <v>0</v>
      </c>
      <c r="G198">
        <v>2</v>
      </c>
      <c r="H198">
        <v>125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1</v>
      </c>
      <c r="O198">
        <f t="shared" si="19"/>
        <v>-1.0630126957727279</v>
      </c>
      <c r="P198">
        <f t="shared" si="20"/>
        <v>0.2567341456949071</v>
      </c>
      <c r="Q198">
        <f t="shared" si="21"/>
        <v>0</v>
      </c>
      <c r="R198">
        <f t="shared" si="22"/>
        <v>1</v>
      </c>
      <c r="S198">
        <f t="shared" si="23"/>
        <v>0.2567341456949071</v>
      </c>
      <c r="T198">
        <f t="shared" si="24"/>
        <v>-1.359714182051228</v>
      </c>
    </row>
    <row r="199" spans="1:20" x14ac:dyDescent="0.3">
      <c r="A199">
        <v>50</v>
      </c>
      <c r="B199">
        <v>0</v>
      </c>
      <c r="C199">
        <v>4</v>
      </c>
      <c r="D199">
        <v>110</v>
      </c>
      <c r="E199">
        <v>254</v>
      </c>
      <c r="F199">
        <v>0</v>
      </c>
      <c r="G199">
        <v>2</v>
      </c>
      <c r="H199">
        <v>159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  <c r="O199">
        <f t="shared" si="19"/>
        <v>-2.5767646159393625</v>
      </c>
      <c r="P199">
        <f t="shared" si="20"/>
        <v>7.0648863588765418E-2</v>
      </c>
      <c r="Q199">
        <f t="shared" si="21"/>
        <v>0</v>
      </c>
      <c r="R199">
        <f t="shared" si="22"/>
        <v>0</v>
      </c>
      <c r="S199">
        <f t="shared" si="23"/>
        <v>0.92935113641123457</v>
      </c>
      <c r="T199">
        <f t="shared" si="24"/>
        <v>-7.3268639126311971E-2</v>
      </c>
    </row>
    <row r="200" spans="1:20" x14ac:dyDescent="0.3">
      <c r="A200">
        <v>64</v>
      </c>
      <c r="B200">
        <v>0</v>
      </c>
      <c r="C200">
        <v>4</v>
      </c>
      <c r="D200">
        <v>180</v>
      </c>
      <c r="E200">
        <v>325</v>
      </c>
      <c r="F200">
        <v>0</v>
      </c>
      <c r="G200">
        <v>0</v>
      </c>
      <c r="H200">
        <v>154</v>
      </c>
      <c r="I200">
        <v>1</v>
      </c>
      <c r="J200">
        <v>0</v>
      </c>
      <c r="K200">
        <v>1</v>
      </c>
      <c r="L200">
        <v>0</v>
      </c>
      <c r="M200">
        <v>3</v>
      </c>
      <c r="N200">
        <v>0</v>
      </c>
      <c r="O200">
        <f t="shared" si="19"/>
        <v>-1.5101571494312793</v>
      </c>
      <c r="P200">
        <f t="shared" si="20"/>
        <v>0.18091550478260118</v>
      </c>
      <c r="Q200">
        <f t="shared" si="21"/>
        <v>0</v>
      </c>
      <c r="R200">
        <f t="shared" si="22"/>
        <v>0</v>
      </c>
      <c r="S200">
        <f t="shared" si="23"/>
        <v>0.81908449521739879</v>
      </c>
      <c r="T200">
        <f t="shared" si="24"/>
        <v>-0.19956803168698584</v>
      </c>
    </row>
    <row r="201" spans="1:20" x14ac:dyDescent="0.3">
      <c r="A201">
        <v>57</v>
      </c>
      <c r="B201">
        <v>1</v>
      </c>
      <c r="C201">
        <v>3</v>
      </c>
      <c r="D201">
        <v>150</v>
      </c>
      <c r="E201">
        <v>126</v>
      </c>
      <c r="F201">
        <v>1</v>
      </c>
      <c r="G201">
        <v>0</v>
      </c>
      <c r="H201">
        <v>173</v>
      </c>
      <c r="I201">
        <v>0</v>
      </c>
      <c r="J201">
        <v>0.2</v>
      </c>
      <c r="K201">
        <v>1</v>
      </c>
      <c r="L201">
        <v>1</v>
      </c>
      <c r="M201">
        <v>7</v>
      </c>
      <c r="N201">
        <v>0</v>
      </c>
      <c r="O201">
        <f t="shared" si="19"/>
        <v>-1.1783413797581712</v>
      </c>
      <c r="P201">
        <f t="shared" si="20"/>
        <v>0.23535055161298279</v>
      </c>
      <c r="Q201">
        <f t="shared" si="21"/>
        <v>0</v>
      </c>
      <c r="R201">
        <f t="shared" si="22"/>
        <v>0</v>
      </c>
      <c r="S201">
        <f t="shared" si="23"/>
        <v>0.76464944838701721</v>
      </c>
      <c r="T201">
        <f t="shared" si="24"/>
        <v>-0.26833778758103649</v>
      </c>
    </row>
    <row r="202" spans="1:20" x14ac:dyDescent="0.3">
      <c r="A202">
        <v>64</v>
      </c>
      <c r="B202">
        <v>0</v>
      </c>
      <c r="C202">
        <v>3</v>
      </c>
      <c r="D202">
        <v>140</v>
      </c>
      <c r="E202">
        <v>313</v>
      </c>
      <c r="F202">
        <v>0</v>
      </c>
      <c r="G202">
        <v>0</v>
      </c>
      <c r="H202">
        <v>133</v>
      </c>
      <c r="I202">
        <v>0</v>
      </c>
      <c r="J202">
        <v>0.2</v>
      </c>
      <c r="K202">
        <v>1</v>
      </c>
      <c r="L202">
        <v>0</v>
      </c>
      <c r="M202">
        <v>7</v>
      </c>
      <c r="N202">
        <v>0</v>
      </c>
      <c r="O202">
        <f t="shared" si="19"/>
        <v>-1.0909642435422389</v>
      </c>
      <c r="P202">
        <f t="shared" si="20"/>
        <v>0.251436748537257</v>
      </c>
      <c r="Q202">
        <f t="shared" si="21"/>
        <v>0</v>
      </c>
      <c r="R202">
        <f t="shared" si="22"/>
        <v>0</v>
      </c>
      <c r="S202">
        <f t="shared" si="23"/>
        <v>0.74856325146274294</v>
      </c>
      <c r="T202">
        <f t="shared" si="24"/>
        <v>-0.28959957440049883</v>
      </c>
    </row>
    <row r="203" spans="1:20" x14ac:dyDescent="0.3">
      <c r="A203">
        <v>43</v>
      </c>
      <c r="B203">
        <v>1</v>
      </c>
      <c r="C203">
        <v>4</v>
      </c>
      <c r="D203">
        <v>110</v>
      </c>
      <c r="E203">
        <v>211</v>
      </c>
      <c r="F203">
        <v>0</v>
      </c>
      <c r="G203">
        <v>0</v>
      </c>
      <c r="H203">
        <v>161</v>
      </c>
      <c r="I203">
        <v>0</v>
      </c>
      <c r="J203">
        <v>0</v>
      </c>
      <c r="K203">
        <v>1</v>
      </c>
      <c r="L203">
        <v>0</v>
      </c>
      <c r="M203">
        <v>7</v>
      </c>
      <c r="N203">
        <v>0</v>
      </c>
      <c r="O203">
        <f t="shared" si="19"/>
        <v>-0.64873581036764039</v>
      </c>
      <c r="P203">
        <f t="shared" si="20"/>
        <v>0.3432744760908199</v>
      </c>
      <c r="Q203">
        <f t="shared" si="21"/>
        <v>0</v>
      </c>
      <c r="R203">
        <f t="shared" si="22"/>
        <v>0</v>
      </c>
      <c r="S203">
        <f t="shared" si="23"/>
        <v>0.65672552390918004</v>
      </c>
      <c r="T203">
        <f t="shared" si="24"/>
        <v>-0.42048911961622126</v>
      </c>
    </row>
    <row r="204" spans="1:20" x14ac:dyDescent="0.3">
      <c r="A204">
        <v>45</v>
      </c>
      <c r="B204">
        <v>1</v>
      </c>
      <c r="C204">
        <v>4</v>
      </c>
      <c r="D204">
        <v>142</v>
      </c>
      <c r="E204">
        <v>309</v>
      </c>
      <c r="F204">
        <v>0</v>
      </c>
      <c r="G204">
        <v>2</v>
      </c>
      <c r="H204">
        <v>147</v>
      </c>
      <c r="I204">
        <v>1</v>
      </c>
      <c r="J204">
        <v>0</v>
      </c>
      <c r="K204">
        <v>2</v>
      </c>
      <c r="L204">
        <v>3</v>
      </c>
      <c r="M204">
        <v>7</v>
      </c>
      <c r="N204">
        <v>1</v>
      </c>
      <c r="O204">
        <f t="shared" si="19"/>
        <v>5.9686456939734569</v>
      </c>
      <c r="P204">
        <f t="shared" si="20"/>
        <v>0.9974488221681389</v>
      </c>
      <c r="Q204">
        <f t="shared" si="21"/>
        <v>1</v>
      </c>
      <c r="R204">
        <f t="shared" si="22"/>
        <v>0</v>
      </c>
      <c r="S204">
        <f t="shared" si="23"/>
        <v>0.9974488221681389</v>
      </c>
      <c r="T204">
        <f t="shared" si="24"/>
        <v>-2.5544376314252052E-3</v>
      </c>
    </row>
    <row r="205" spans="1:20" x14ac:dyDescent="0.3">
      <c r="A205">
        <v>58</v>
      </c>
      <c r="B205">
        <v>1</v>
      </c>
      <c r="C205">
        <v>4</v>
      </c>
      <c r="D205">
        <v>128</v>
      </c>
      <c r="E205">
        <v>259</v>
      </c>
      <c r="F205">
        <v>0</v>
      </c>
      <c r="G205">
        <v>2</v>
      </c>
      <c r="H205">
        <v>130</v>
      </c>
      <c r="I205">
        <v>1</v>
      </c>
      <c r="J205">
        <v>3</v>
      </c>
      <c r="K205">
        <v>2</v>
      </c>
      <c r="L205">
        <v>2</v>
      </c>
      <c r="M205">
        <v>7</v>
      </c>
      <c r="N205">
        <v>1</v>
      </c>
      <c r="O205">
        <f t="shared" si="19"/>
        <v>5.2532363822394537</v>
      </c>
      <c r="P205">
        <f t="shared" si="20"/>
        <v>0.9947966535548366</v>
      </c>
      <c r="Q205">
        <f t="shared" si="21"/>
        <v>1</v>
      </c>
      <c r="R205">
        <f t="shared" si="22"/>
        <v>0</v>
      </c>
      <c r="S205">
        <f t="shared" si="23"/>
        <v>0.9947966535548366</v>
      </c>
      <c r="T205">
        <f t="shared" si="24"/>
        <v>-5.2169309961846294E-3</v>
      </c>
    </row>
    <row r="206" spans="1:20" x14ac:dyDescent="0.3">
      <c r="A206">
        <v>50</v>
      </c>
      <c r="B206">
        <v>1</v>
      </c>
      <c r="C206">
        <v>4</v>
      </c>
      <c r="D206">
        <v>144</v>
      </c>
      <c r="E206">
        <v>200</v>
      </c>
      <c r="F206">
        <v>0</v>
      </c>
      <c r="G206">
        <v>2</v>
      </c>
      <c r="H206">
        <v>126</v>
      </c>
      <c r="I206">
        <v>1</v>
      </c>
      <c r="J206">
        <v>0.9</v>
      </c>
      <c r="K206">
        <v>2</v>
      </c>
      <c r="L206">
        <v>0</v>
      </c>
      <c r="M206">
        <v>7</v>
      </c>
      <c r="N206">
        <v>1</v>
      </c>
      <c r="O206">
        <f t="shared" si="19"/>
        <v>2.7852491073219574</v>
      </c>
      <c r="P206">
        <f t="shared" si="20"/>
        <v>0.94187348907981649</v>
      </c>
      <c r="Q206">
        <f t="shared" si="21"/>
        <v>1</v>
      </c>
      <c r="R206">
        <f t="shared" si="22"/>
        <v>0</v>
      </c>
      <c r="S206">
        <f t="shared" si="23"/>
        <v>0.94187348907981649</v>
      </c>
      <c r="T206">
        <f t="shared" si="24"/>
        <v>-5.9884313764769728E-2</v>
      </c>
    </row>
    <row r="207" spans="1:20" x14ac:dyDescent="0.3">
      <c r="A207">
        <v>55</v>
      </c>
      <c r="B207">
        <v>1</v>
      </c>
      <c r="C207">
        <v>2</v>
      </c>
      <c r="D207">
        <v>130</v>
      </c>
      <c r="E207">
        <v>262</v>
      </c>
      <c r="F207">
        <v>0</v>
      </c>
      <c r="G207">
        <v>0</v>
      </c>
      <c r="H207">
        <v>155</v>
      </c>
      <c r="I207">
        <v>0</v>
      </c>
      <c r="J207">
        <v>0</v>
      </c>
      <c r="K207">
        <v>1</v>
      </c>
      <c r="L207">
        <v>0</v>
      </c>
      <c r="M207">
        <v>3</v>
      </c>
      <c r="N207">
        <v>0</v>
      </c>
      <c r="O207">
        <f t="shared" si="19"/>
        <v>-2.6899450288367541</v>
      </c>
      <c r="P207">
        <f t="shared" si="20"/>
        <v>6.3569290592922018E-2</v>
      </c>
      <c r="Q207">
        <f t="shared" si="21"/>
        <v>0</v>
      </c>
      <c r="R207">
        <f t="shared" si="22"/>
        <v>0</v>
      </c>
      <c r="S207">
        <f t="shared" si="23"/>
        <v>0.93643070940707795</v>
      </c>
      <c r="T207">
        <f t="shared" si="24"/>
        <v>-6.5679748722569847E-2</v>
      </c>
    </row>
    <row r="208" spans="1:20" x14ac:dyDescent="0.3">
      <c r="A208">
        <v>62</v>
      </c>
      <c r="B208">
        <v>0</v>
      </c>
      <c r="C208">
        <v>4</v>
      </c>
      <c r="D208">
        <v>150</v>
      </c>
      <c r="E208">
        <v>244</v>
      </c>
      <c r="F208">
        <v>0</v>
      </c>
      <c r="G208">
        <v>0</v>
      </c>
      <c r="H208">
        <v>154</v>
      </c>
      <c r="I208">
        <v>1</v>
      </c>
      <c r="J208">
        <v>1.4</v>
      </c>
      <c r="K208">
        <v>2</v>
      </c>
      <c r="L208">
        <v>0</v>
      </c>
      <c r="M208">
        <v>3</v>
      </c>
      <c r="N208">
        <v>1</v>
      </c>
      <c r="O208">
        <f t="shared" si="19"/>
        <v>-1.4074502881840623</v>
      </c>
      <c r="P208">
        <f t="shared" si="20"/>
        <v>0.19663652435258427</v>
      </c>
      <c r="Q208">
        <f t="shared" si="21"/>
        <v>0</v>
      </c>
      <c r="R208">
        <f t="shared" si="22"/>
        <v>1</v>
      </c>
      <c r="S208">
        <f t="shared" si="23"/>
        <v>0.19663652435258427</v>
      </c>
      <c r="T208">
        <f t="shared" si="24"/>
        <v>-1.6263983085007245</v>
      </c>
    </row>
    <row r="209" spans="1:20" x14ac:dyDescent="0.3">
      <c r="A209">
        <v>37</v>
      </c>
      <c r="B209">
        <v>0</v>
      </c>
      <c r="C209">
        <v>3</v>
      </c>
      <c r="D209">
        <v>120</v>
      </c>
      <c r="E209">
        <v>215</v>
      </c>
      <c r="F209">
        <v>0</v>
      </c>
      <c r="G209">
        <v>0</v>
      </c>
      <c r="H209">
        <v>170</v>
      </c>
      <c r="I209">
        <v>0</v>
      </c>
      <c r="J209">
        <v>0</v>
      </c>
      <c r="K209">
        <v>1</v>
      </c>
      <c r="L209">
        <v>0</v>
      </c>
      <c r="M209">
        <v>3</v>
      </c>
      <c r="N209">
        <v>0</v>
      </c>
      <c r="O209">
        <f t="shared" si="19"/>
        <v>-3.3073012618497986</v>
      </c>
      <c r="P209">
        <f t="shared" si="20"/>
        <v>3.532156064022865E-2</v>
      </c>
      <c r="Q209">
        <f t="shared" si="21"/>
        <v>0</v>
      </c>
      <c r="R209">
        <f t="shared" si="22"/>
        <v>0</v>
      </c>
      <c r="S209">
        <f t="shared" si="23"/>
        <v>0.96467843935977138</v>
      </c>
      <c r="T209">
        <f t="shared" si="24"/>
        <v>-3.59604566358021E-2</v>
      </c>
    </row>
    <row r="210" spans="1:20" x14ac:dyDescent="0.3">
      <c r="A210">
        <v>38</v>
      </c>
      <c r="B210">
        <v>1</v>
      </c>
      <c r="C210">
        <v>1</v>
      </c>
      <c r="D210">
        <v>120</v>
      </c>
      <c r="E210">
        <v>231</v>
      </c>
      <c r="F210">
        <v>0</v>
      </c>
      <c r="G210">
        <v>0</v>
      </c>
      <c r="H210">
        <v>182</v>
      </c>
      <c r="I210">
        <v>1</v>
      </c>
      <c r="J210">
        <v>3.8</v>
      </c>
      <c r="K210">
        <v>2</v>
      </c>
      <c r="L210">
        <v>0</v>
      </c>
      <c r="M210">
        <v>7</v>
      </c>
      <c r="N210">
        <v>1</v>
      </c>
      <c r="O210">
        <f t="shared" si="19"/>
        <v>-2.4341860123925141E-2</v>
      </c>
      <c r="P210">
        <f t="shared" si="20"/>
        <v>0.49391483543431475</v>
      </c>
      <c r="Q210">
        <f t="shared" si="21"/>
        <v>0</v>
      </c>
      <c r="R210">
        <f t="shared" si="22"/>
        <v>1</v>
      </c>
      <c r="S210">
        <f t="shared" si="23"/>
        <v>0.49391483543431475</v>
      </c>
      <c r="T210">
        <f t="shared" si="24"/>
        <v>-0.70539217456268721</v>
      </c>
    </row>
    <row r="211" spans="1:20" x14ac:dyDescent="0.3">
      <c r="A211">
        <v>41</v>
      </c>
      <c r="B211">
        <v>1</v>
      </c>
      <c r="C211">
        <v>3</v>
      </c>
      <c r="D211">
        <v>130</v>
      </c>
      <c r="E211">
        <v>214</v>
      </c>
      <c r="F211">
        <v>0</v>
      </c>
      <c r="G211">
        <v>2</v>
      </c>
      <c r="H211">
        <v>168</v>
      </c>
      <c r="I211">
        <v>0</v>
      </c>
      <c r="J211">
        <v>2</v>
      </c>
      <c r="K211">
        <v>2</v>
      </c>
      <c r="L211">
        <v>0</v>
      </c>
      <c r="M211">
        <v>3</v>
      </c>
      <c r="N211">
        <v>0</v>
      </c>
      <c r="O211">
        <f t="shared" si="19"/>
        <v>-0.90957185315236178</v>
      </c>
      <c r="P211">
        <f t="shared" si="20"/>
        <v>0.28708745732481789</v>
      </c>
      <c r="Q211">
        <f t="shared" si="21"/>
        <v>0</v>
      </c>
      <c r="R211">
        <f t="shared" si="22"/>
        <v>0</v>
      </c>
      <c r="S211">
        <f t="shared" si="23"/>
        <v>0.71291254267518211</v>
      </c>
      <c r="T211">
        <f t="shared" si="24"/>
        <v>-0.33839652713594764</v>
      </c>
    </row>
    <row r="212" spans="1:20" x14ac:dyDescent="0.3">
      <c r="A212">
        <v>66</v>
      </c>
      <c r="B212">
        <v>0</v>
      </c>
      <c r="C212">
        <v>4</v>
      </c>
      <c r="D212">
        <v>178</v>
      </c>
      <c r="E212">
        <v>228</v>
      </c>
      <c r="F212">
        <v>1</v>
      </c>
      <c r="G212">
        <v>0</v>
      </c>
      <c r="H212">
        <v>165</v>
      </c>
      <c r="I212">
        <v>1</v>
      </c>
      <c r="J212">
        <v>1</v>
      </c>
      <c r="K212">
        <v>2</v>
      </c>
      <c r="L212">
        <v>2</v>
      </c>
      <c r="M212">
        <v>7</v>
      </c>
      <c r="N212">
        <v>1</v>
      </c>
      <c r="O212">
        <f t="shared" si="19"/>
        <v>1.4195338534621671</v>
      </c>
      <c r="P212">
        <f t="shared" si="20"/>
        <v>0.80526532893613489</v>
      </c>
      <c r="Q212">
        <f t="shared" si="21"/>
        <v>1</v>
      </c>
      <c r="R212">
        <f t="shared" si="22"/>
        <v>0</v>
      </c>
      <c r="S212">
        <f t="shared" si="23"/>
        <v>0.80526532893613489</v>
      </c>
      <c r="T212">
        <f t="shared" si="24"/>
        <v>-0.2165834547072038</v>
      </c>
    </row>
    <row r="213" spans="1:20" x14ac:dyDescent="0.3">
      <c r="A213">
        <v>52</v>
      </c>
      <c r="B213">
        <v>1</v>
      </c>
      <c r="C213">
        <v>4</v>
      </c>
      <c r="D213">
        <v>112</v>
      </c>
      <c r="E213">
        <v>230</v>
      </c>
      <c r="F213">
        <v>0</v>
      </c>
      <c r="G213">
        <v>0</v>
      </c>
      <c r="H213">
        <v>160</v>
      </c>
      <c r="I213">
        <v>0</v>
      </c>
      <c r="J213">
        <v>0</v>
      </c>
      <c r="K213">
        <v>1</v>
      </c>
      <c r="L213">
        <v>1</v>
      </c>
      <c r="M213">
        <v>3</v>
      </c>
      <c r="N213">
        <v>1</v>
      </c>
      <c r="O213">
        <f t="shared" si="19"/>
        <v>-1.0859415414339133</v>
      </c>
      <c r="P213">
        <f t="shared" si="20"/>
        <v>0.25238328271380395</v>
      </c>
      <c r="Q213">
        <f t="shared" si="21"/>
        <v>0</v>
      </c>
      <c r="R213">
        <f t="shared" si="22"/>
        <v>1</v>
      </c>
      <c r="S213">
        <f t="shared" si="23"/>
        <v>0.25238328271380395</v>
      </c>
      <c r="T213">
        <f t="shared" si="24"/>
        <v>-1.3768063838136568</v>
      </c>
    </row>
    <row r="214" spans="1:20" x14ac:dyDescent="0.3">
      <c r="A214">
        <v>56</v>
      </c>
      <c r="B214">
        <v>1</v>
      </c>
      <c r="C214">
        <v>1</v>
      </c>
      <c r="D214">
        <v>120</v>
      </c>
      <c r="E214">
        <v>193</v>
      </c>
      <c r="F214">
        <v>0</v>
      </c>
      <c r="G214">
        <v>2</v>
      </c>
      <c r="H214">
        <v>162</v>
      </c>
      <c r="I214">
        <v>0</v>
      </c>
      <c r="J214">
        <v>1.9</v>
      </c>
      <c r="K214">
        <v>2</v>
      </c>
      <c r="L214">
        <v>0</v>
      </c>
      <c r="M214">
        <v>7</v>
      </c>
      <c r="N214">
        <v>0</v>
      </c>
      <c r="O214">
        <f t="shared" si="19"/>
        <v>-0.9396266755756626</v>
      </c>
      <c r="P214">
        <f t="shared" si="20"/>
        <v>0.28097575854547707</v>
      </c>
      <c r="Q214">
        <f t="shared" si="21"/>
        <v>0</v>
      </c>
      <c r="R214">
        <f t="shared" si="22"/>
        <v>0</v>
      </c>
      <c r="S214">
        <f t="shared" si="23"/>
        <v>0.71902424145452293</v>
      </c>
      <c r="T214">
        <f t="shared" si="24"/>
        <v>-0.32986020631550544</v>
      </c>
    </row>
    <row r="215" spans="1:20" x14ac:dyDescent="0.3">
      <c r="A215">
        <v>46</v>
      </c>
      <c r="B215">
        <v>0</v>
      </c>
      <c r="C215">
        <v>2</v>
      </c>
      <c r="D215">
        <v>105</v>
      </c>
      <c r="E215">
        <v>204</v>
      </c>
      <c r="F215">
        <v>0</v>
      </c>
      <c r="G215">
        <v>0</v>
      </c>
      <c r="H215">
        <v>172</v>
      </c>
      <c r="I215">
        <v>0</v>
      </c>
      <c r="J215">
        <v>0</v>
      </c>
      <c r="K215">
        <v>1</v>
      </c>
      <c r="L215">
        <v>0</v>
      </c>
      <c r="M215">
        <v>3</v>
      </c>
      <c r="N215">
        <v>0</v>
      </c>
      <c r="O215">
        <f t="shared" si="19"/>
        <v>-4.4204767740993622</v>
      </c>
      <c r="P215">
        <f t="shared" si="20"/>
        <v>1.1885530979673048E-2</v>
      </c>
      <c r="Q215">
        <f t="shared" si="21"/>
        <v>0</v>
      </c>
      <c r="R215">
        <f t="shared" si="22"/>
        <v>0</v>
      </c>
      <c r="S215">
        <f t="shared" si="23"/>
        <v>0.98811446902032696</v>
      </c>
      <c r="T215">
        <f t="shared" si="24"/>
        <v>-1.1956728613128582E-2</v>
      </c>
    </row>
    <row r="216" spans="1:20" x14ac:dyDescent="0.3">
      <c r="A216">
        <v>46</v>
      </c>
      <c r="B216">
        <v>0</v>
      </c>
      <c r="C216">
        <v>4</v>
      </c>
      <c r="D216">
        <v>138</v>
      </c>
      <c r="E216">
        <v>243</v>
      </c>
      <c r="F216">
        <v>0</v>
      </c>
      <c r="G216">
        <v>2</v>
      </c>
      <c r="H216">
        <v>152</v>
      </c>
      <c r="I216">
        <v>1</v>
      </c>
      <c r="J216">
        <v>0</v>
      </c>
      <c r="K216">
        <v>2</v>
      </c>
      <c r="L216">
        <v>0</v>
      </c>
      <c r="M216">
        <v>3</v>
      </c>
      <c r="N216">
        <v>0</v>
      </c>
      <c r="O216">
        <f t="shared" si="19"/>
        <v>-0.61415952887330549</v>
      </c>
      <c r="P216">
        <f t="shared" si="20"/>
        <v>0.35111093804258003</v>
      </c>
      <c r="Q216">
        <f t="shared" si="21"/>
        <v>0</v>
      </c>
      <c r="R216">
        <f t="shared" si="22"/>
        <v>0</v>
      </c>
      <c r="S216">
        <f t="shared" si="23"/>
        <v>0.64888906195741991</v>
      </c>
      <c r="T216">
        <f t="shared" si="24"/>
        <v>-0.43249351378091733</v>
      </c>
    </row>
    <row r="217" spans="1:20" x14ac:dyDescent="0.3">
      <c r="A217">
        <v>64</v>
      </c>
      <c r="B217">
        <v>0</v>
      </c>
      <c r="C217">
        <v>4</v>
      </c>
      <c r="D217">
        <v>130</v>
      </c>
      <c r="E217">
        <v>303</v>
      </c>
      <c r="F217">
        <v>0</v>
      </c>
      <c r="G217">
        <v>0</v>
      </c>
      <c r="H217">
        <v>122</v>
      </c>
      <c r="I217">
        <v>0</v>
      </c>
      <c r="J217">
        <v>2</v>
      </c>
      <c r="K217">
        <v>2</v>
      </c>
      <c r="L217">
        <v>2</v>
      </c>
      <c r="M217">
        <v>3</v>
      </c>
      <c r="N217">
        <v>0</v>
      </c>
      <c r="O217">
        <f t="shared" si="19"/>
        <v>1.4134607532952059</v>
      </c>
      <c r="P217">
        <f t="shared" si="20"/>
        <v>0.80431122150630907</v>
      </c>
      <c r="Q217">
        <f t="shared" si="21"/>
        <v>1</v>
      </c>
      <c r="R217">
        <f t="shared" si="22"/>
        <v>1</v>
      </c>
      <c r="S217">
        <f t="shared" si="23"/>
        <v>0.19568877849369093</v>
      </c>
      <c r="T217">
        <f t="shared" si="24"/>
        <v>-1.6312297465731771</v>
      </c>
    </row>
    <row r="218" spans="1:20" x14ac:dyDescent="0.3">
      <c r="A218">
        <v>59</v>
      </c>
      <c r="B218">
        <v>1</v>
      </c>
      <c r="C218">
        <v>4</v>
      </c>
      <c r="D218">
        <v>138</v>
      </c>
      <c r="E218">
        <v>271</v>
      </c>
      <c r="F218">
        <v>0</v>
      </c>
      <c r="G218">
        <v>2</v>
      </c>
      <c r="H218">
        <v>182</v>
      </c>
      <c r="I218">
        <v>0</v>
      </c>
      <c r="J218">
        <v>0</v>
      </c>
      <c r="K218">
        <v>1</v>
      </c>
      <c r="L218">
        <v>0</v>
      </c>
      <c r="M218">
        <v>3</v>
      </c>
      <c r="N218">
        <v>0</v>
      </c>
      <c r="O218">
        <f t="shared" si="19"/>
        <v>-2.4350717164791718</v>
      </c>
      <c r="P218">
        <f t="shared" si="20"/>
        <v>8.0537102289208781E-2</v>
      </c>
      <c r="Q218">
        <f t="shared" si="21"/>
        <v>0</v>
      </c>
      <c r="R218">
        <f t="shared" si="22"/>
        <v>0</v>
      </c>
      <c r="S218">
        <f t="shared" si="23"/>
        <v>0.91946289771079126</v>
      </c>
      <c r="T218">
        <f t="shared" si="24"/>
        <v>-8.3965586256713881E-2</v>
      </c>
    </row>
    <row r="219" spans="1:20" x14ac:dyDescent="0.3">
      <c r="A219">
        <v>41</v>
      </c>
      <c r="B219">
        <v>0</v>
      </c>
      <c r="C219">
        <v>3</v>
      </c>
      <c r="D219">
        <v>112</v>
      </c>
      <c r="E219">
        <v>268</v>
      </c>
      <c r="F219">
        <v>0</v>
      </c>
      <c r="G219">
        <v>2</v>
      </c>
      <c r="H219">
        <v>172</v>
      </c>
      <c r="I219">
        <v>1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-2.1581620492756892</v>
      </c>
      <c r="P219">
        <f t="shared" si="20"/>
        <v>0.10357096990894631</v>
      </c>
      <c r="Q219">
        <f t="shared" si="21"/>
        <v>0</v>
      </c>
      <c r="R219">
        <f t="shared" si="22"/>
        <v>0</v>
      </c>
      <c r="S219">
        <f t="shared" si="23"/>
        <v>0.89642903009105368</v>
      </c>
      <c r="T219">
        <f t="shared" si="24"/>
        <v>-0.10933615238223793</v>
      </c>
    </row>
    <row r="220" spans="1:20" x14ac:dyDescent="0.3">
      <c r="A220">
        <v>54</v>
      </c>
      <c r="B220">
        <v>0</v>
      </c>
      <c r="C220">
        <v>3</v>
      </c>
      <c r="D220">
        <v>108</v>
      </c>
      <c r="E220">
        <v>267</v>
      </c>
      <c r="F220">
        <v>0</v>
      </c>
      <c r="G220">
        <v>2</v>
      </c>
      <c r="H220">
        <v>167</v>
      </c>
      <c r="I220">
        <v>0</v>
      </c>
      <c r="J220">
        <v>0</v>
      </c>
      <c r="K220">
        <v>1</v>
      </c>
      <c r="L220">
        <v>0</v>
      </c>
      <c r="M220">
        <v>3</v>
      </c>
      <c r="N220">
        <v>0</v>
      </c>
      <c r="O220">
        <f t="shared" si="19"/>
        <v>-3.4389653183112019</v>
      </c>
      <c r="P220">
        <f t="shared" si="20"/>
        <v>3.1099646541140457E-2</v>
      </c>
      <c r="Q220">
        <f t="shared" si="21"/>
        <v>0</v>
      </c>
      <c r="R220">
        <f t="shared" si="22"/>
        <v>0</v>
      </c>
      <c r="S220">
        <f t="shared" si="23"/>
        <v>0.9689003534588595</v>
      </c>
      <c r="T220">
        <f t="shared" si="24"/>
        <v>-3.1593506786972786E-2</v>
      </c>
    </row>
    <row r="221" spans="1:20" x14ac:dyDescent="0.3">
      <c r="A221">
        <v>39</v>
      </c>
      <c r="B221">
        <v>0</v>
      </c>
      <c r="C221">
        <v>3</v>
      </c>
      <c r="D221">
        <v>94</v>
      </c>
      <c r="E221">
        <v>199</v>
      </c>
      <c r="F221">
        <v>0</v>
      </c>
      <c r="G221">
        <v>0</v>
      </c>
      <c r="H221">
        <v>179</v>
      </c>
      <c r="I221">
        <v>0</v>
      </c>
      <c r="J221">
        <v>0</v>
      </c>
      <c r="K221">
        <v>1</v>
      </c>
      <c r="L221">
        <v>0</v>
      </c>
      <c r="M221">
        <v>3</v>
      </c>
      <c r="N221">
        <v>0</v>
      </c>
      <c r="O221">
        <f t="shared" si="19"/>
        <v>-4.172455894197296</v>
      </c>
      <c r="P221">
        <f t="shared" si="20"/>
        <v>1.5180362040790093E-2</v>
      </c>
      <c r="Q221">
        <f t="shared" si="21"/>
        <v>0</v>
      </c>
      <c r="R221">
        <f t="shared" si="22"/>
        <v>0</v>
      </c>
      <c r="S221">
        <f t="shared" si="23"/>
        <v>0.9848196379592099</v>
      </c>
      <c r="T221">
        <f t="shared" si="24"/>
        <v>-1.5296763247340483E-2</v>
      </c>
    </row>
    <row r="222" spans="1:20" x14ac:dyDescent="0.3">
      <c r="A222">
        <v>53</v>
      </c>
      <c r="B222">
        <v>1</v>
      </c>
      <c r="C222">
        <v>4</v>
      </c>
      <c r="D222">
        <v>123</v>
      </c>
      <c r="E222">
        <v>282</v>
      </c>
      <c r="F222">
        <v>0</v>
      </c>
      <c r="G222">
        <v>0</v>
      </c>
      <c r="H222">
        <v>95</v>
      </c>
      <c r="I222">
        <v>1</v>
      </c>
      <c r="J222">
        <v>2</v>
      </c>
      <c r="K222">
        <v>2</v>
      </c>
      <c r="L222">
        <v>2</v>
      </c>
      <c r="M222">
        <v>7</v>
      </c>
      <c r="N222">
        <v>1</v>
      </c>
      <c r="O222">
        <f t="shared" si="19"/>
        <v>5.9688350627205402</v>
      </c>
      <c r="P222">
        <f t="shared" si="20"/>
        <v>0.99744930400358955</v>
      </c>
      <c r="Q222">
        <f t="shared" si="21"/>
        <v>1</v>
      </c>
      <c r="R222">
        <f t="shared" si="22"/>
        <v>0</v>
      </c>
      <c r="S222">
        <f t="shared" si="23"/>
        <v>0.99744930400358955</v>
      </c>
      <c r="T222">
        <f t="shared" si="24"/>
        <v>-2.5539545636992615E-3</v>
      </c>
    </row>
    <row r="223" spans="1:20" x14ac:dyDescent="0.3">
      <c r="A223">
        <v>63</v>
      </c>
      <c r="B223">
        <v>0</v>
      </c>
      <c r="C223">
        <v>4</v>
      </c>
      <c r="D223">
        <v>108</v>
      </c>
      <c r="E223">
        <v>269</v>
      </c>
      <c r="F223">
        <v>0</v>
      </c>
      <c r="G223">
        <v>0</v>
      </c>
      <c r="H223">
        <v>169</v>
      </c>
      <c r="I223">
        <v>1</v>
      </c>
      <c r="J223">
        <v>1.8</v>
      </c>
      <c r="K223">
        <v>2</v>
      </c>
      <c r="L223">
        <v>2</v>
      </c>
      <c r="M223">
        <v>3</v>
      </c>
      <c r="N223">
        <v>1</v>
      </c>
      <c r="O223">
        <f t="shared" si="19"/>
        <v>1.8349610554803331E-2</v>
      </c>
      <c r="P223">
        <f t="shared" si="20"/>
        <v>0.50458727392502467</v>
      </c>
      <c r="Q223">
        <f t="shared" si="21"/>
        <v>1</v>
      </c>
      <c r="R223">
        <f t="shared" si="22"/>
        <v>0</v>
      </c>
      <c r="S223">
        <f t="shared" si="23"/>
        <v>0.50458727392502467</v>
      </c>
      <c r="T223">
        <f t="shared" si="24"/>
        <v>-0.68401446321801485</v>
      </c>
    </row>
    <row r="224" spans="1:20" x14ac:dyDescent="0.3">
      <c r="A224">
        <v>34</v>
      </c>
      <c r="B224">
        <v>0</v>
      </c>
      <c r="C224">
        <v>2</v>
      </c>
      <c r="D224">
        <v>118</v>
      </c>
      <c r="E224">
        <v>210</v>
      </c>
      <c r="F224">
        <v>0</v>
      </c>
      <c r="G224">
        <v>0</v>
      </c>
      <c r="H224">
        <v>192</v>
      </c>
      <c r="I224">
        <v>0</v>
      </c>
      <c r="J224">
        <v>0.7</v>
      </c>
      <c r="K224">
        <v>1</v>
      </c>
      <c r="L224">
        <v>0</v>
      </c>
      <c r="M224">
        <v>3</v>
      </c>
      <c r="N224">
        <v>0</v>
      </c>
      <c r="O224">
        <f t="shared" si="19"/>
        <v>-4.2497458643691273</v>
      </c>
      <c r="P224">
        <f t="shared" si="20"/>
        <v>1.4067151282809389E-2</v>
      </c>
      <c r="Q224">
        <f t="shared" si="21"/>
        <v>0</v>
      </c>
      <c r="R224">
        <f t="shared" si="22"/>
        <v>0</v>
      </c>
      <c r="S224">
        <f t="shared" si="23"/>
        <v>0.98593284871719056</v>
      </c>
      <c r="T224">
        <f t="shared" si="24"/>
        <v>-1.4167031448035012E-2</v>
      </c>
    </row>
    <row r="225" spans="1:20" x14ac:dyDescent="0.3">
      <c r="A225">
        <v>47</v>
      </c>
      <c r="B225">
        <v>1</v>
      </c>
      <c r="C225">
        <v>4</v>
      </c>
      <c r="D225">
        <v>112</v>
      </c>
      <c r="E225">
        <v>204</v>
      </c>
      <c r="F225">
        <v>0</v>
      </c>
      <c r="G225">
        <v>0</v>
      </c>
      <c r="H225">
        <v>143</v>
      </c>
      <c r="I225">
        <v>0</v>
      </c>
      <c r="J225">
        <v>0.1</v>
      </c>
      <c r="K225">
        <v>1</v>
      </c>
      <c r="L225">
        <v>0</v>
      </c>
      <c r="M225">
        <v>3</v>
      </c>
      <c r="N225">
        <v>0</v>
      </c>
      <c r="O225">
        <f t="shared" si="19"/>
        <v>-1.5041508039820766</v>
      </c>
      <c r="P225">
        <f t="shared" si="20"/>
        <v>0.18180726199303726</v>
      </c>
      <c r="Q225">
        <f t="shared" si="21"/>
        <v>0</v>
      </c>
      <c r="R225">
        <f t="shared" si="22"/>
        <v>0</v>
      </c>
      <c r="S225">
        <f t="shared" si="23"/>
        <v>0.81819273800696268</v>
      </c>
      <c r="T225">
        <f t="shared" si="24"/>
        <v>-0.20065734909825989</v>
      </c>
    </row>
    <row r="226" spans="1:20" x14ac:dyDescent="0.3">
      <c r="A226">
        <v>67</v>
      </c>
      <c r="B226">
        <v>0</v>
      </c>
      <c r="C226">
        <v>3</v>
      </c>
      <c r="D226">
        <v>152</v>
      </c>
      <c r="E226">
        <v>277</v>
      </c>
      <c r="F226">
        <v>0</v>
      </c>
      <c r="G226">
        <v>0</v>
      </c>
      <c r="H226">
        <v>172</v>
      </c>
      <c r="I226">
        <v>0</v>
      </c>
      <c r="J226">
        <v>0</v>
      </c>
      <c r="K226">
        <v>1</v>
      </c>
      <c r="L226">
        <v>1</v>
      </c>
      <c r="M226">
        <v>3</v>
      </c>
      <c r="N226">
        <v>0</v>
      </c>
      <c r="O226">
        <f t="shared" si="19"/>
        <v>-2.8331897684205987</v>
      </c>
      <c r="P226">
        <f t="shared" si="20"/>
        <v>5.5556792561743763E-2</v>
      </c>
      <c r="Q226">
        <f t="shared" si="21"/>
        <v>0</v>
      </c>
      <c r="R226">
        <f t="shared" si="22"/>
        <v>0</v>
      </c>
      <c r="S226">
        <f t="shared" si="23"/>
        <v>0.94444320743825627</v>
      </c>
      <c r="T226">
        <f t="shared" si="24"/>
        <v>-5.7159723612064429E-2</v>
      </c>
    </row>
    <row r="227" spans="1:20" x14ac:dyDescent="0.3">
      <c r="A227">
        <v>54</v>
      </c>
      <c r="B227">
        <v>1</v>
      </c>
      <c r="C227">
        <v>4</v>
      </c>
      <c r="D227">
        <v>110</v>
      </c>
      <c r="E227">
        <v>206</v>
      </c>
      <c r="F227">
        <v>0</v>
      </c>
      <c r="G227">
        <v>2</v>
      </c>
      <c r="H227">
        <v>108</v>
      </c>
      <c r="I227">
        <v>1</v>
      </c>
      <c r="J227">
        <v>0</v>
      </c>
      <c r="K227">
        <v>2</v>
      </c>
      <c r="L227">
        <v>1</v>
      </c>
      <c r="M227">
        <v>3</v>
      </c>
      <c r="N227">
        <v>1</v>
      </c>
      <c r="O227">
        <f t="shared" si="19"/>
        <v>2.4051566091244414</v>
      </c>
      <c r="P227">
        <f t="shared" si="20"/>
        <v>0.91721967648795999</v>
      </c>
      <c r="Q227">
        <f t="shared" si="21"/>
        <v>1</v>
      </c>
      <c r="R227">
        <f t="shared" si="22"/>
        <v>0</v>
      </c>
      <c r="S227">
        <f t="shared" si="23"/>
        <v>0.91721967648795999</v>
      </c>
      <c r="T227">
        <f t="shared" si="24"/>
        <v>-8.6408275450518782E-2</v>
      </c>
    </row>
    <row r="228" spans="1:20" x14ac:dyDescent="0.3">
      <c r="A228">
        <v>66</v>
      </c>
      <c r="B228">
        <v>1</v>
      </c>
      <c r="C228">
        <v>4</v>
      </c>
      <c r="D228">
        <v>112</v>
      </c>
      <c r="E228">
        <v>212</v>
      </c>
      <c r="F228">
        <v>0</v>
      </c>
      <c r="G228">
        <v>2</v>
      </c>
      <c r="H228">
        <v>132</v>
      </c>
      <c r="I228">
        <v>1</v>
      </c>
      <c r="J228">
        <v>0.1</v>
      </c>
      <c r="K228">
        <v>1</v>
      </c>
      <c r="L228">
        <v>1</v>
      </c>
      <c r="M228">
        <v>3</v>
      </c>
      <c r="N228">
        <v>1</v>
      </c>
      <c r="O228">
        <f t="shared" si="19"/>
        <v>0.72829529276529836</v>
      </c>
      <c r="P228">
        <f t="shared" si="20"/>
        <v>0.67443107489648035</v>
      </c>
      <c r="Q228">
        <f t="shared" si="21"/>
        <v>1</v>
      </c>
      <c r="R228">
        <f t="shared" si="22"/>
        <v>0</v>
      </c>
      <c r="S228">
        <f t="shared" si="23"/>
        <v>0.67443107489648035</v>
      </c>
      <c r="T228">
        <f t="shared" si="24"/>
        <v>-0.39388579551428632</v>
      </c>
    </row>
    <row r="229" spans="1:20" x14ac:dyDescent="0.3">
      <c r="A229">
        <v>52</v>
      </c>
      <c r="B229">
        <v>0</v>
      </c>
      <c r="C229">
        <v>3</v>
      </c>
      <c r="D229">
        <v>136</v>
      </c>
      <c r="E229">
        <v>196</v>
      </c>
      <c r="F229">
        <v>0</v>
      </c>
      <c r="G229">
        <v>2</v>
      </c>
      <c r="H229">
        <v>169</v>
      </c>
      <c r="I229">
        <v>0</v>
      </c>
      <c r="J229">
        <v>0.1</v>
      </c>
      <c r="K229">
        <v>2</v>
      </c>
      <c r="L229">
        <v>0</v>
      </c>
      <c r="M229">
        <v>3</v>
      </c>
      <c r="N229">
        <v>0</v>
      </c>
      <c r="O229">
        <f t="shared" si="19"/>
        <v>-2.8646734400158524</v>
      </c>
      <c r="P229">
        <f t="shared" si="20"/>
        <v>5.3927765948568525E-2</v>
      </c>
      <c r="Q229">
        <f t="shared" si="21"/>
        <v>0</v>
      </c>
      <c r="R229">
        <f t="shared" si="22"/>
        <v>0</v>
      </c>
      <c r="S229">
        <f t="shared" si="23"/>
        <v>0.94607223405143148</v>
      </c>
      <c r="T229">
        <f t="shared" si="24"/>
        <v>-5.5436355497096461E-2</v>
      </c>
    </row>
    <row r="230" spans="1:20" x14ac:dyDescent="0.3">
      <c r="A230">
        <v>55</v>
      </c>
      <c r="B230">
        <v>0</v>
      </c>
      <c r="C230">
        <v>4</v>
      </c>
      <c r="D230">
        <v>180</v>
      </c>
      <c r="E230">
        <v>327</v>
      </c>
      <c r="F230">
        <v>0</v>
      </c>
      <c r="G230">
        <v>1</v>
      </c>
      <c r="H230">
        <v>117</v>
      </c>
      <c r="I230">
        <v>1</v>
      </c>
      <c r="J230">
        <v>3.4</v>
      </c>
      <c r="K230">
        <v>2</v>
      </c>
      <c r="L230">
        <v>0</v>
      </c>
      <c r="M230">
        <v>3</v>
      </c>
      <c r="N230">
        <v>1</v>
      </c>
      <c r="O230">
        <f t="shared" si="19"/>
        <v>1.8008945175858779</v>
      </c>
      <c r="P230">
        <f t="shared" si="20"/>
        <v>0.85825778925419571</v>
      </c>
      <c r="Q230">
        <f t="shared" si="21"/>
        <v>1</v>
      </c>
      <c r="R230">
        <f t="shared" si="22"/>
        <v>0</v>
      </c>
      <c r="S230">
        <f t="shared" si="23"/>
        <v>0.85825778925419571</v>
      </c>
      <c r="T230">
        <f t="shared" si="24"/>
        <v>-0.15285077094512292</v>
      </c>
    </row>
    <row r="231" spans="1:20" x14ac:dyDescent="0.3">
      <c r="A231">
        <v>49</v>
      </c>
      <c r="B231">
        <v>1</v>
      </c>
      <c r="C231">
        <v>3</v>
      </c>
      <c r="D231">
        <v>118</v>
      </c>
      <c r="E231">
        <v>149</v>
      </c>
      <c r="F231">
        <v>0</v>
      </c>
      <c r="G231">
        <v>2</v>
      </c>
      <c r="H231">
        <v>126</v>
      </c>
      <c r="I231">
        <v>0</v>
      </c>
      <c r="J231">
        <v>0.8</v>
      </c>
      <c r="K231">
        <v>1</v>
      </c>
      <c r="L231">
        <v>3</v>
      </c>
      <c r="M231">
        <v>3</v>
      </c>
      <c r="N231">
        <v>1</v>
      </c>
      <c r="O231">
        <f t="shared" si="19"/>
        <v>3.1291370791760622</v>
      </c>
      <c r="P231">
        <f t="shared" si="20"/>
        <v>0.9580787484074601</v>
      </c>
      <c r="Q231">
        <f t="shared" si="21"/>
        <v>1</v>
      </c>
      <c r="R231">
        <f t="shared" si="22"/>
        <v>0</v>
      </c>
      <c r="S231">
        <f t="shared" si="23"/>
        <v>0.9580787484074601</v>
      </c>
      <c r="T231">
        <f t="shared" si="24"/>
        <v>-4.2825303546720428E-2</v>
      </c>
    </row>
    <row r="232" spans="1:20" x14ac:dyDescent="0.3">
      <c r="A232">
        <v>74</v>
      </c>
      <c r="B232">
        <v>0</v>
      </c>
      <c r="C232">
        <v>2</v>
      </c>
      <c r="D232">
        <v>120</v>
      </c>
      <c r="E232">
        <v>269</v>
      </c>
      <c r="F232">
        <v>0</v>
      </c>
      <c r="G232">
        <v>2</v>
      </c>
      <c r="H232">
        <v>121</v>
      </c>
      <c r="I232">
        <v>1</v>
      </c>
      <c r="J232">
        <v>0.2</v>
      </c>
      <c r="K232">
        <v>1</v>
      </c>
      <c r="L232">
        <v>1</v>
      </c>
      <c r="M232">
        <v>3</v>
      </c>
      <c r="N232">
        <v>0</v>
      </c>
      <c r="O232">
        <f t="shared" si="19"/>
        <v>-0.6362344902967787</v>
      </c>
      <c r="P232">
        <f t="shared" si="20"/>
        <v>0.34609823330494366</v>
      </c>
      <c r="Q232">
        <f t="shared" si="21"/>
        <v>0</v>
      </c>
      <c r="R232">
        <f t="shared" si="22"/>
        <v>0</v>
      </c>
      <c r="S232">
        <f t="shared" si="23"/>
        <v>0.6539017666950564</v>
      </c>
      <c r="T232">
        <f t="shared" si="24"/>
        <v>-0.42479814263685239</v>
      </c>
    </row>
    <row r="233" spans="1:20" x14ac:dyDescent="0.3">
      <c r="A233">
        <v>54</v>
      </c>
      <c r="B233">
        <v>0</v>
      </c>
      <c r="C233">
        <v>3</v>
      </c>
      <c r="D233">
        <v>160</v>
      </c>
      <c r="E233">
        <v>201</v>
      </c>
      <c r="F233">
        <v>0</v>
      </c>
      <c r="G233">
        <v>0</v>
      </c>
      <c r="H233">
        <v>163</v>
      </c>
      <c r="I233">
        <v>0</v>
      </c>
      <c r="J233">
        <v>0</v>
      </c>
      <c r="K233">
        <v>1</v>
      </c>
      <c r="L233">
        <v>1</v>
      </c>
      <c r="M233">
        <v>3</v>
      </c>
      <c r="N233">
        <v>0</v>
      </c>
      <c r="O233">
        <f t="shared" si="19"/>
        <v>-1.982415611547244</v>
      </c>
      <c r="P233">
        <f t="shared" si="20"/>
        <v>0.12106156776794047</v>
      </c>
      <c r="Q233">
        <f t="shared" si="21"/>
        <v>0</v>
      </c>
      <c r="R233">
        <f t="shared" si="22"/>
        <v>0</v>
      </c>
      <c r="S233">
        <f t="shared" si="23"/>
        <v>0.87893843223205947</v>
      </c>
      <c r="T233">
        <f t="shared" si="24"/>
        <v>-0.12904042671702351</v>
      </c>
    </row>
    <row r="234" spans="1:20" x14ac:dyDescent="0.3">
      <c r="A234">
        <v>54</v>
      </c>
      <c r="B234">
        <v>1</v>
      </c>
      <c r="C234">
        <v>4</v>
      </c>
      <c r="D234">
        <v>122</v>
      </c>
      <c r="E234">
        <v>286</v>
      </c>
      <c r="F234">
        <v>0</v>
      </c>
      <c r="G234">
        <v>2</v>
      </c>
      <c r="H234">
        <v>116</v>
      </c>
      <c r="I234">
        <v>1</v>
      </c>
      <c r="J234">
        <v>3.2</v>
      </c>
      <c r="K234">
        <v>2</v>
      </c>
      <c r="L234">
        <v>2</v>
      </c>
      <c r="M234">
        <v>3</v>
      </c>
      <c r="N234">
        <v>1</v>
      </c>
      <c r="O234">
        <f t="shared" si="19"/>
        <v>4.5961780262808141</v>
      </c>
      <c r="P234">
        <f t="shared" si="20"/>
        <v>0.99001047051384305</v>
      </c>
      <c r="Q234">
        <f t="shared" si="21"/>
        <v>1</v>
      </c>
      <c r="R234">
        <f t="shared" si="22"/>
        <v>0</v>
      </c>
      <c r="S234">
        <f t="shared" si="23"/>
        <v>0.99001047051384305</v>
      </c>
      <c r="T234">
        <f t="shared" si="24"/>
        <v>-1.0039759632820713E-2</v>
      </c>
    </row>
    <row r="235" spans="1:20" x14ac:dyDescent="0.3">
      <c r="A235">
        <v>56</v>
      </c>
      <c r="B235">
        <v>1</v>
      </c>
      <c r="C235">
        <v>4</v>
      </c>
      <c r="D235">
        <v>130</v>
      </c>
      <c r="E235">
        <v>283</v>
      </c>
      <c r="F235">
        <v>1</v>
      </c>
      <c r="G235">
        <v>2</v>
      </c>
      <c r="H235">
        <v>103</v>
      </c>
      <c r="I235">
        <v>1</v>
      </c>
      <c r="J235">
        <v>1.6</v>
      </c>
      <c r="K235">
        <v>3</v>
      </c>
      <c r="L235">
        <v>0</v>
      </c>
      <c r="M235">
        <v>7</v>
      </c>
      <c r="N235">
        <v>1</v>
      </c>
      <c r="O235">
        <f t="shared" si="19"/>
        <v>3.1282870010656976</v>
      </c>
      <c r="P235">
        <f t="shared" si="20"/>
        <v>0.95804459269075548</v>
      </c>
      <c r="Q235">
        <f t="shared" si="21"/>
        <v>1</v>
      </c>
      <c r="R235">
        <f t="shared" si="22"/>
        <v>0</v>
      </c>
      <c r="S235">
        <f t="shared" si="23"/>
        <v>0.95804459269075548</v>
      </c>
      <c r="T235">
        <f t="shared" si="24"/>
        <v>-4.2860954400687545E-2</v>
      </c>
    </row>
    <row r="236" spans="1:20" x14ac:dyDescent="0.3">
      <c r="A236">
        <v>46</v>
      </c>
      <c r="B236">
        <v>1</v>
      </c>
      <c r="C236">
        <v>4</v>
      </c>
      <c r="D236">
        <v>120</v>
      </c>
      <c r="E236">
        <v>249</v>
      </c>
      <c r="F236">
        <v>0</v>
      </c>
      <c r="G236">
        <v>2</v>
      </c>
      <c r="H236">
        <v>144</v>
      </c>
      <c r="I236">
        <v>0</v>
      </c>
      <c r="J236">
        <v>0.8</v>
      </c>
      <c r="K236">
        <v>1</v>
      </c>
      <c r="L236">
        <v>0</v>
      </c>
      <c r="M236">
        <v>7</v>
      </c>
      <c r="N236">
        <v>1</v>
      </c>
      <c r="O236">
        <f t="shared" si="19"/>
        <v>0.89029156746513904</v>
      </c>
      <c r="P236">
        <f t="shared" si="20"/>
        <v>0.70895033819083519</v>
      </c>
      <c r="Q236">
        <f t="shared" si="21"/>
        <v>1</v>
      </c>
      <c r="R236">
        <f t="shared" si="22"/>
        <v>0</v>
      </c>
      <c r="S236">
        <f t="shared" si="23"/>
        <v>0.70895033819083519</v>
      </c>
      <c r="T236">
        <f t="shared" si="24"/>
        <v>-0.34396979976809611</v>
      </c>
    </row>
    <row r="237" spans="1:20" x14ac:dyDescent="0.3">
      <c r="A237">
        <v>49</v>
      </c>
      <c r="B237">
        <v>0</v>
      </c>
      <c r="C237">
        <v>2</v>
      </c>
      <c r="D237">
        <v>134</v>
      </c>
      <c r="E237">
        <v>271</v>
      </c>
      <c r="F237">
        <v>0</v>
      </c>
      <c r="G237">
        <v>0</v>
      </c>
      <c r="H237">
        <v>162</v>
      </c>
      <c r="I237">
        <v>0</v>
      </c>
      <c r="J237">
        <v>0</v>
      </c>
      <c r="K237">
        <v>2</v>
      </c>
      <c r="L237">
        <v>0</v>
      </c>
      <c r="M237">
        <v>3</v>
      </c>
      <c r="N237">
        <v>0</v>
      </c>
      <c r="O237">
        <f t="shared" si="19"/>
        <v>-3.2695461265581729</v>
      </c>
      <c r="P237">
        <f t="shared" si="20"/>
        <v>3.6630841656796705E-2</v>
      </c>
      <c r="Q237">
        <f t="shared" si="21"/>
        <v>0</v>
      </c>
      <c r="R237">
        <f t="shared" si="22"/>
        <v>0</v>
      </c>
      <c r="S237">
        <f t="shared" si="23"/>
        <v>0.96336915834320325</v>
      </c>
      <c r="T237">
        <f t="shared" si="24"/>
        <v>-3.7318598643686966E-2</v>
      </c>
    </row>
    <row r="238" spans="1:20" x14ac:dyDescent="0.3">
      <c r="A238">
        <v>42</v>
      </c>
      <c r="B238">
        <v>1</v>
      </c>
      <c r="C238">
        <v>2</v>
      </c>
      <c r="D238">
        <v>120</v>
      </c>
      <c r="E238">
        <v>295</v>
      </c>
      <c r="F238">
        <v>0</v>
      </c>
      <c r="G238">
        <v>0</v>
      </c>
      <c r="H238">
        <v>162</v>
      </c>
      <c r="I238">
        <v>0</v>
      </c>
      <c r="J238">
        <v>0</v>
      </c>
      <c r="K238">
        <v>1</v>
      </c>
      <c r="L238">
        <v>0</v>
      </c>
      <c r="M238">
        <v>3</v>
      </c>
      <c r="N238">
        <v>0</v>
      </c>
      <c r="O238">
        <f t="shared" si="19"/>
        <v>-2.4422606839309235</v>
      </c>
      <c r="P238">
        <f t="shared" si="20"/>
        <v>8.0006355696359402E-2</v>
      </c>
      <c r="Q238">
        <f t="shared" si="21"/>
        <v>0</v>
      </c>
      <c r="R238">
        <f t="shared" si="22"/>
        <v>0</v>
      </c>
      <c r="S238">
        <f t="shared" si="23"/>
        <v>0.91999364430364061</v>
      </c>
      <c r="T238">
        <f t="shared" si="24"/>
        <v>-8.3388517328521955E-2</v>
      </c>
    </row>
    <row r="239" spans="1:20" x14ac:dyDescent="0.3">
      <c r="A239">
        <v>41</v>
      </c>
      <c r="B239">
        <v>1</v>
      </c>
      <c r="C239">
        <v>2</v>
      </c>
      <c r="D239">
        <v>110</v>
      </c>
      <c r="E239">
        <v>235</v>
      </c>
      <c r="F239">
        <v>0</v>
      </c>
      <c r="G239">
        <v>0</v>
      </c>
      <c r="H239">
        <v>153</v>
      </c>
      <c r="I239">
        <v>0</v>
      </c>
      <c r="J239">
        <v>0</v>
      </c>
      <c r="K239">
        <v>1</v>
      </c>
      <c r="L239">
        <v>0</v>
      </c>
      <c r="M239">
        <v>3</v>
      </c>
      <c r="N239">
        <v>0</v>
      </c>
      <c r="O239">
        <f t="shared" si="19"/>
        <v>-2.3574438525532351</v>
      </c>
      <c r="P239">
        <f t="shared" si="20"/>
        <v>8.6475911262131999E-2</v>
      </c>
      <c r="Q239">
        <f t="shared" si="21"/>
        <v>0</v>
      </c>
      <c r="R239">
        <f t="shared" si="22"/>
        <v>0</v>
      </c>
      <c r="S239">
        <f t="shared" si="23"/>
        <v>0.91352408873786795</v>
      </c>
      <c r="T239">
        <f t="shared" si="24"/>
        <v>-9.0445533793230642E-2</v>
      </c>
    </row>
    <row r="240" spans="1:20" x14ac:dyDescent="0.3">
      <c r="A240">
        <v>41</v>
      </c>
      <c r="B240">
        <v>0</v>
      </c>
      <c r="C240">
        <v>2</v>
      </c>
      <c r="D240">
        <v>126</v>
      </c>
      <c r="E240">
        <v>306</v>
      </c>
      <c r="F240">
        <v>0</v>
      </c>
      <c r="G240">
        <v>0</v>
      </c>
      <c r="H240">
        <v>163</v>
      </c>
      <c r="I240">
        <v>0</v>
      </c>
      <c r="J240">
        <v>0</v>
      </c>
      <c r="K240">
        <v>1</v>
      </c>
      <c r="L240">
        <v>0</v>
      </c>
      <c r="M240">
        <v>3</v>
      </c>
      <c r="N240">
        <v>0</v>
      </c>
      <c r="O240">
        <f t="shared" si="19"/>
        <v>-3.2762193412666258</v>
      </c>
      <c r="P240">
        <f t="shared" si="20"/>
        <v>3.6396077229642693E-2</v>
      </c>
      <c r="Q240">
        <f t="shared" si="21"/>
        <v>0</v>
      </c>
      <c r="R240">
        <f t="shared" si="22"/>
        <v>0</v>
      </c>
      <c r="S240">
        <f t="shared" si="23"/>
        <v>0.96360392277035734</v>
      </c>
      <c r="T240">
        <f t="shared" si="24"/>
        <v>-3.7074937296658769E-2</v>
      </c>
    </row>
    <row r="241" spans="1:20" x14ac:dyDescent="0.3">
      <c r="A241">
        <v>49</v>
      </c>
      <c r="B241">
        <v>0</v>
      </c>
      <c r="C241">
        <v>4</v>
      </c>
      <c r="D241">
        <v>130</v>
      </c>
      <c r="E241">
        <v>269</v>
      </c>
      <c r="F241">
        <v>0</v>
      </c>
      <c r="G241">
        <v>0</v>
      </c>
      <c r="H241">
        <v>163</v>
      </c>
      <c r="I241">
        <v>0</v>
      </c>
      <c r="J241">
        <v>0</v>
      </c>
      <c r="K241">
        <v>1</v>
      </c>
      <c r="L241">
        <v>0</v>
      </c>
      <c r="M241">
        <v>3</v>
      </c>
      <c r="N241">
        <v>0</v>
      </c>
      <c r="O241">
        <f t="shared" si="19"/>
        <v>-2.9067344732065683</v>
      </c>
      <c r="P241">
        <f t="shared" si="20"/>
        <v>5.1821656321367364E-2</v>
      </c>
      <c r="Q241">
        <f t="shared" si="21"/>
        <v>0</v>
      </c>
      <c r="R241">
        <f t="shared" si="22"/>
        <v>0</v>
      </c>
      <c r="S241">
        <f t="shared" si="23"/>
        <v>0.94817834367863263</v>
      </c>
      <c r="T241">
        <f t="shared" si="24"/>
        <v>-5.3212668177354545E-2</v>
      </c>
    </row>
    <row r="242" spans="1:20" x14ac:dyDescent="0.3">
      <c r="A242">
        <v>61</v>
      </c>
      <c r="B242">
        <v>1</v>
      </c>
      <c r="C242">
        <v>1</v>
      </c>
      <c r="D242">
        <v>134</v>
      </c>
      <c r="E242">
        <v>234</v>
      </c>
      <c r="F242">
        <v>0</v>
      </c>
      <c r="G242">
        <v>0</v>
      </c>
      <c r="H242">
        <v>145</v>
      </c>
      <c r="I242">
        <v>0</v>
      </c>
      <c r="J242">
        <v>2.6</v>
      </c>
      <c r="K242">
        <v>2</v>
      </c>
      <c r="L242">
        <v>2</v>
      </c>
      <c r="M242">
        <v>3</v>
      </c>
      <c r="N242">
        <v>1</v>
      </c>
      <c r="O242">
        <f t="shared" si="19"/>
        <v>0.52936693314564875</v>
      </c>
      <c r="P242">
        <f t="shared" si="20"/>
        <v>0.62933544707499101</v>
      </c>
      <c r="Q242">
        <f t="shared" si="21"/>
        <v>1</v>
      </c>
      <c r="R242">
        <f t="shared" si="22"/>
        <v>0</v>
      </c>
      <c r="S242">
        <f t="shared" si="23"/>
        <v>0.62933544707499101</v>
      </c>
      <c r="T242">
        <f t="shared" si="24"/>
        <v>-0.46309086225077323</v>
      </c>
    </row>
    <row r="243" spans="1:20" x14ac:dyDescent="0.3">
      <c r="A243">
        <v>60</v>
      </c>
      <c r="B243">
        <v>0</v>
      </c>
      <c r="C243">
        <v>3</v>
      </c>
      <c r="D243">
        <v>120</v>
      </c>
      <c r="E243">
        <v>178</v>
      </c>
      <c r="F243">
        <v>1</v>
      </c>
      <c r="G243">
        <v>0</v>
      </c>
      <c r="H243">
        <v>96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>
        <f t="shared" si="19"/>
        <v>-2.3549536186068947</v>
      </c>
      <c r="P243">
        <f t="shared" si="20"/>
        <v>8.6672837022001625E-2</v>
      </c>
      <c r="Q243">
        <f t="shared" si="21"/>
        <v>0</v>
      </c>
      <c r="R243">
        <f t="shared" si="22"/>
        <v>0</v>
      </c>
      <c r="S243">
        <f t="shared" si="23"/>
        <v>0.91332716297799843</v>
      </c>
      <c r="T243">
        <f t="shared" si="24"/>
        <v>-9.0661124154457151E-2</v>
      </c>
    </row>
    <row r="244" spans="1:20" x14ac:dyDescent="0.3">
      <c r="A244">
        <v>67</v>
      </c>
      <c r="B244">
        <v>1</v>
      </c>
      <c r="C244">
        <v>4</v>
      </c>
      <c r="D244">
        <v>120</v>
      </c>
      <c r="E244">
        <v>237</v>
      </c>
      <c r="F244">
        <v>0</v>
      </c>
      <c r="G244">
        <v>0</v>
      </c>
      <c r="H244">
        <v>71</v>
      </c>
      <c r="I244">
        <v>0</v>
      </c>
      <c r="J244">
        <v>1</v>
      </c>
      <c r="K244">
        <v>2</v>
      </c>
      <c r="L244">
        <v>0</v>
      </c>
      <c r="M244">
        <v>3</v>
      </c>
      <c r="N244">
        <v>1</v>
      </c>
      <c r="O244">
        <f t="shared" si="19"/>
        <v>1.095974066446028</v>
      </c>
      <c r="P244">
        <f t="shared" si="20"/>
        <v>0.74950500714517709</v>
      </c>
      <c r="Q244">
        <f t="shared" si="21"/>
        <v>1</v>
      </c>
      <c r="R244">
        <f t="shared" si="22"/>
        <v>0</v>
      </c>
      <c r="S244">
        <f t="shared" si="23"/>
        <v>0.74950500714517709</v>
      </c>
      <c r="T244">
        <f t="shared" si="24"/>
        <v>-0.28834228081446572</v>
      </c>
    </row>
    <row r="245" spans="1:20" x14ac:dyDescent="0.3">
      <c r="A245">
        <v>58</v>
      </c>
      <c r="B245">
        <v>1</v>
      </c>
      <c r="C245">
        <v>4</v>
      </c>
      <c r="D245">
        <v>100</v>
      </c>
      <c r="E245">
        <v>234</v>
      </c>
      <c r="F245">
        <v>0</v>
      </c>
      <c r="G245">
        <v>0</v>
      </c>
      <c r="H245">
        <v>156</v>
      </c>
      <c r="I245">
        <v>0</v>
      </c>
      <c r="J245">
        <v>0.1</v>
      </c>
      <c r="K245">
        <v>1</v>
      </c>
      <c r="L245">
        <v>1</v>
      </c>
      <c r="M245">
        <v>7</v>
      </c>
      <c r="N245">
        <v>1</v>
      </c>
      <c r="O245">
        <f t="shared" si="19"/>
        <v>5.9185584941973346E-2</v>
      </c>
      <c r="P245">
        <f t="shared" si="20"/>
        <v>0.51479207851532782</v>
      </c>
      <c r="Q245">
        <f t="shared" si="21"/>
        <v>1</v>
      </c>
      <c r="R245">
        <f t="shared" si="22"/>
        <v>0</v>
      </c>
      <c r="S245">
        <f t="shared" si="23"/>
        <v>0.51479207851532782</v>
      </c>
      <c r="T245">
        <f t="shared" si="24"/>
        <v>-0.66399219087791739</v>
      </c>
    </row>
    <row r="246" spans="1:20" x14ac:dyDescent="0.3">
      <c r="A246">
        <v>47</v>
      </c>
      <c r="B246">
        <v>1</v>
      </c>
      <c r="C246">
        <v>4</v>
      </c>
      <c r="D246">
        <v>110</v>
      </c>
      <c r="E246">
        <v>275</v>
      </c>
      <c r="F246">
        <v>0</v>
      </c>
      <c r="G246">
        <v>2</v>
      </c>
      <c r="H246">
        <v>118</v>
      </c>
      <c r="I246">
        <v>1</v>
      </c>
      <c r="J246">
        <v>1</v>
      </c>
      <c r="K246">
        <v>2</v>
      </c>
      <c r="L246">
        <v>1</v>
      </c>
      <c r="M246">
        <v>3</v>
      </c>
      <c r="N246">
        <v>1</v>
      </c>
      <c r="O246">
        <f t="shared" si="19"/>
        <v>2.7811378729288014</v>
      </c>
      <c r="P246">
        <f t="shared" si="20"/>
        <v>0.94164799864214976</v>
      </c>
      <c r="Q246">
        <f t="shared" si="21"/>
        <v>1</v>
      </c>
      <c r="R246">
        <f t="shared" si="22"/>
        <v>0</v>
      </c>
      <c r="S246">
        <f t="shared" si="23"/>
        <v>0.94164799864214976</v>
      </c>
      <c r="T246">
        <f t="shared" si="24"/>
        <v>-6.0123748717026859E-2</v>
      </c>
    </row>
    <row r="247" spans="1:20" x14ac:dyDescent="0.3">
      <c r="A247">
        <v>52</v>
      </c>
      <c r="B247">
        <v>1</v>
      </c>
      <c r="C247">
        <v>4</v>
      </c>
      <c r="D247">
        <v>125</v>
      </c>
      <c r="E247">
        <v>212</v>
      </c>
      <c r="F247">
        <v>0</v>
      </c>
      <c r="G247">
        <v>0</v>
      </c>
      <c r="H247">
        <v>168</v>
      </c>
      <c r="I247">
        <v>0</v>
      </c>
      <c r="J247">
        <v>1</v>
      </c>
      <c r="K247">
        <v>1</v>
      </c>
      <c r="L247">
        <v>2</v>
      </c>
      <c r="M247">
        <v>7</v>
      </c>
      <c r="N247">
        <v>1</v>
      </c>
      <c r="O247">
        <f t="shared" si="19"/>
        <v>1.6817641895978928</v>
      </c>
      <c r="P247">
        <f t="shared" si="20"/>
        <v>0.84313799759985797</v>
      </c>
      <c r="Q247">
        <f t="shared" si="21"/>
        <v>1</v>
      </c>
      <c r="R247">
        <f t="shared" si="22"/>
        <v>0</v>
      </c>
      <c r="S247">
        <f t="shared" si="23"/>
        <v>0.84313799759985797</v>
      </c>
      <c r="T247">
        <f t="shared" si="24"/>
        <v>-0.17062463615690115</v>
      </c>
    </row>
    <row r="248" spans="1:20" x14ac:dyDescent="0.3">
      <c r="A248">
        <v>62</v>
      </c>
      <c r="B248">
        <v>1</v>
      </c>
      <c r="C248">
        <v>2</v>
      </c>
      <c r="D248">
        <v>128</v>
      </c>
      <c r="E248">
        <v>208</v>
      </c>
      <c r="F248">
        <v>1</v>
      </c>
      <c r="G248">
        <v>2</v>
      </c>
      <c r="H248">
        <v>140</v>
      </c>
      <c r="I248">
        <v>0</v>
      </c>
      <c r="J248">
        <v>0</v>
      </c>
      <c r="K248">
        <v>1</v>
      </c>
      <c r="L248">
        <v>0</v>
      </c>
      <c r="M248">
        <v>3</v>
      </c>
      <c r="N248">
        <v>0</v>
      </c>
      <c r="O248">
        <f t="shared" si="19"/>
        <v>-2.7904671087251129</v>
      </c>
      <c r="P248">
        <f t="shared" si="20"/>
        <v>5.7841494528422105E-2</v>
      </c>
      <c r="Q248">
        <f t="shared" si="21"/>
        <v>0</v>
      </c>
      <c r="R248">
        <f t="shared" si="22"/>
        <v>0</v>
      </c>
      <c r="S248">
        <f t="shared" si="23"/>
        <v>0.94215850547157787</v>
      </c>
      <c r="T248">
        <f t="shared" si="24"/>
        <v>-5.9581753728889339E-2</v>
      </c>
    </row>
    <row r="249" spans="1:20" x14ac:dyDescent="0.3">
      <c r="A249">
        <v>57</v>
      </c>
      <c r="B249">
        <v>1</v>
      </c>
      <c r="C249">
        <v>4</v>
      </c>
      <c r="D249">
        <v>110</v>
      </c>
      <c r="E249">
        <v>201</v>
      </c>
      <c r="F249">
        <v>0</v>
      </c>
      <c r="G249">
        <v>0</v>
      </c>
      <c r="H249">
        <v>126</v>
      </c>
      <c r="I249">
        <v>1</v>
      </c>
      <c r="J249">
        <v>1.5</v>
      </c>
      <c r="K249">
        <v>2</v>
      </c>
      <c r="L249">
        <v>0</v>
      </c>
      <c r="M249">
        <v>6</v>
      </c>
      <c r="N249">
        <v>0</v>
      </c>
      <c r="O249">
        <f t="shared" si="19"/>
        <v>1.2134323813271735</v>
      </c>
      <c r="P249">
        <f t="shared" si="20"/>
        <v>0.77090570584915563</v>
      </c>
      <c r="Q249">
        <f t="shared" si="21"/>
        <v>1</v>
      </c>
      <c r="R249">
        <f t="shared" si="22"/>
        <v>1</v>
      </c>
      <c r="S249">
        <f t="shared" si="23"/>
        <v>0.22909429415084437</v>
      </c>
      <c r="T249">
        <f t="shared" si="24"/>
        <v>-1.4736215953289304</v>
      </c>
    </row>
    <row r="250" spans="1:20" x14ac:dyDescent="0.3">
      <c r="A250">
        <v>58</v>
      </c>
      <c r="B250">
        <v>1</v>
      </c>
      <c r="C250">
        <v>4</v>
      </c>
      <c r="D250">
        <v>146</v>
      </c>
      <c r="E250">
        <v>218</v>
      </c>
      <c r="F250">
        <v>0</v>
      </c>
      <c r="G250">
        <v>0</v>
      </c>
      <c r="H250">
        <v>105</v>
      </c>
      <c r="I250">
        <v>0</v>
      </c>
      <c r="J250">
        <v>2</v>
      </c>
      <c r="K250">
        <v>2</v>
      </c>
      <c r="L250">
        <v>1</v>
      </c>
      <c r="M250">
        <v>7</v>
      </c>
      <c r="N250">
        <v>1</v>
      </c>
      <c r="O250">
        <f t="shared" si="19"/>
        <v>3.4649624373442944</v>
      </c>
      <c r="P250">
        <f t="shared" si="20"/>
        <v>0.969674233343923</v>
      </c>
      <c r="Q250">
        <f t="shared" si="21"/>
        <v>1</v>
      </c>
      <c r="R250">
        <f t="shared" si="22"/>
        <v>0</v>
      </c>
      <c r="S250">
        <f t="shared" si="23"/>
        <v>0.969674233343923</v>
      </c>
      <c r="T250">
        <f t="shared" si="24"/>
        <v>-3.0795105805715112E-2</v>
      </c>
    </row>
    <row r="251" spans="1:20" x14ac:dyDescent="0.3">
      <c r="A251">
        <v>64</v>
      </c>
      <c r="B251">
        <v>1</v>
      </c>
      <c r="C251">
        <v>4</v>
      </c>
      <c r="D251">
        <v>128</v>
      </c>
      <c r="E251">
        <v>263</v>
      </c>
      <c r="F251">
        <v>0</v>
      </c>
      <c r="G251">
        <v>0</v>
      </c>
      <c r="H251">
        <v>105</v>
      </c>
      <c r="I251">
        <v>1</v>
      </c>
      <c r="J251">
        <v>0.2</v>
      </c>
      <c r="K251">
        <v>2</v>
      </c>
      <c r="L251">
        <v>1</v>
      </c>
      <c r="M251">
        <v>7</v>
      </c>
      <c r="N251">
        <v>0</v>
      </c>
      <c r="O251">
        <f t="shared" si="19"/>
        <v>3.3859458223366339</v>
      </c>
      <c r="P251">
        <f t="shared" si="20"/>
        <v>0.96726240865802016</v>
      </c>
      <c r="Q251">
        <f t="shared" si="21"/>
        <v>1</v>
      </c>
      <c r="R251">
        <f t="shared" si="22"/>
        <v>1</v>
      </c>
      <c r="S251">
        <f t="shared" si="23"/>
        <v>3.2737591341979844E-2</v>
      </c>
      <c r="T251">
        <f t="shared" si="24"/>
        <v>-3.4192312790191761</v>
      </c>
    </row>
    <row r="252" spans="1:20" x14ac:dyDescent="0.3">
      <c r="A252">
        <v>51</v>
      </c>
      <c r="B252">
        <v>0</v>
      </c>
      <c r="C252">
        <v>3</v>
      </c>
      <c r="D252">
        <v>120</v>
      </c>
      <c r="E252">
        <v>295</v>
      </c>
      <c r="F252">
        <v>0</v>
      </c>
      <c r="G252">
        <v>2</v>
      </c>
      <c r="H252">
        <v>157</v>
      </c>
      <c r="I252">
        <v>0</v>
      </c>
      <c r="J252">
        <v>0.6</v>
      </c>
      <c r="K252">
        <v>1</v>
      </c>
      <c r="L252">
        <v>0</v>
      </c>
      <c r="M252">
        <v>3</v>
      </c>
      <c r="N252">
        <v>0</v>
      </c>
      <c r="O252">
        <f t="shared" si="19"/>
        <v>-2.5093699446155844</v>
      </c>
      <c r="P252">
        <f t="shared" si="20"/>
        <v>7.5203917029067507E-2</v>
      </c>
      <c r="Q252">
        <f t="shared" si="21"/>
        <v>0</v>
      </c>
      <c r="R252">
        <f t="shared" si="22"/>
        <v>0</v>
      </c>
      <c r="S252">
        <f t="shared" si="23"/>
        <v>0.92479608297093252</v>
      </c>
      <c r="T252">
        <f t="shared" si="24"/>
        <v>-7.8182016614805686E-2</v>
      </c>
    </row>
    <row r="253" spans="1:20" x14ac:dyDescent="0.3">
      <c r="A253">
        <v>43</v>
      </c>
      <c r="B253">
        <v>1</v>
      </c>
      <c r="C253">
        <v>4</v>
      </c>
      <c r="D253">
        <v>115</v>
      </c>
      <c r="E253">
        <v>303</v>
      </c>
      <c r="F253">
        <v>0</v>
      </c>
      <c r="G253">
        <v>0</v>
      </c>
      <c r="H253">
        <v>181</v>
      </c>
      <c r="I253">
        <v>0</v>
      </c>
      <c r="J253">
        <v>1.2</v>
      </c>
      <c r="K253">
        <v>2</v>
      </c>
      <c r="L253">
        <v>0</v>
      </c>
      <c r="M253">
        <v>3</v>
      </c>
      <c r="N253">
        <v>0</v>
      </c>
      <c r="O253">
        <f t="shared" si="19"/>
        <v>-1.888390179350647</v>
      </c>
      <c r="P253">
        <f t="shared" si="20"/>
        <v>0.13142812914284915</v>
      </c>
      <c r="Q253">
        <f t="shared" si="21"/>
        <v>0</v>
      </c>
      <c r="R253">
        <f t="shared" si="22"/>
        <v>0</v>
      </c>
      <c r="S253">
        <f t="shared" si="23"/>
        <v>0.86857187085715082</v>
      </c>
      <c r="T253">
        <f t="shared" si="24"/>
        <v>-0.14090494386683183</v>
      </c>
    </row>
    <row r="254" spans="1:20" x14ac:dyDescent="0.3">
      <c r="A254">
        <v>42</v>
      </c>
      <c r="B254">
        <v>0</v>
      </c>
      <c r="C254">
        <v>3</v>
      </c>
      <c r="D254">
        <v>120</v>
      </c>
      <c r="E254">
        <v>209</v>
      </c>
      <c r="F254">
        <v>0</v>
      </c>
      <c r="G254">
        <v>0</v>
      </c>
      <c r="H254">
        <v>173</v>
      </c>
      <c r="I254">
        <v>0</v>
      </c>
      <c r="J254">
        <v>0</v>
      </c>
      <c r="K254">
        <v>2</v>
      </c>
      <c r="L254">
        <v>0</v>
      </c>
      <c r="M254">
        <v>3</v>
      </c>
      <c r="N254">
        <v>0</v>
      </c>
      <c r="O254">
        <f t="shared" si="19"/>
        <v>-3.3654314408855752</v>
      </c>
      <c r="P254">
        <f t="shared" si="20"/>
        <v>3.3393460389274272E-2</v>
      </c>
      <c r="Q254">
        <f t="shared" si="21"/>
        <v>0</v>
      </c>
      <c r="R254">
        <f t="shared" si="22"/>
        <v>0</v>
      </c>
      <c r="S254">
        <f t="shared" si="23"/>
        <v>0.96660653961072573</v>
      </c>
      <c r="T254">
        <f t="shared" si="24"/>
        <v>-3.3963754012904128E-2</v>
      </c>
    </row>
    <row r="255" spans="1:20" x14ac:dyDescent="0.3">
      <c r="A255">
        <v>67</v>
      </c>
      <c r="B255">
        <v>0</v>
      </c>
      <c r="C255">
        <v>4</v>
      </c>
      <c r="D255">
        <v>106</v>
      </c>
      <c r="E255">
        <v>223</v>
      </c>
      <c r="F255">
        <v>0</v>
      </c>
      <c r="G255">
        <v>0</v>
      </c>
      <c r="H255">
        <v>142</v>
      </c>
      <c r="I255">
        <v>0</v>
      </c>
      <c r="J255">
        <v>0.3</v>
      </c>
      <c r="K255">
        <v>1</v>
      </c>
      <c r="L255">
        <v>2</v>
      </c>
      <c r="M255">
        <v>3</v>
      </c>
      <c r="N255">
        <v>0</v>
      </c>
      <c r="O255">
        <f t="shared" si="19"/>
        <v>-0.80281733109426945</v>
      </c>
      <c r="P255">
        <f t="shared" si="20"/>
        <v>0.30942318721198642</v>
      </c>
      <c r="Q255">
        <f t="shared" si="21"/>
        <v>0</v>
      </c>
      <c r="R255">
        <f t="shared" si="22"/>
        <v>0</v>
      </c>
      <c r="S255">
        <f t="shared" si="23"/>
        <v>0.69057681278801364</v>
      </c>
      <c r="T255">
        <f t="shared" si="24"/>
        <v>-0.37022807004891484</v>
      </c>
    </row>
    <row r="256" spans="1:20" x14ac:dyDescent="0.3">
      <c r="A256">
        <v>76</v>
      </c>
      <c r="B256">
        <v>0</v>
      </c>
      <c r="C256">
        <v>3</v>
      </c>
      <c r="D256">
        <v>140</v>
      </c>
      <c r="E256">
        <v>197</v>
      </c>
      <c r="F256">
        <v>0</v>
      </c>
      <c r="G256">
        <v>1</v>
      </c>
      <c r="H256">
        <v>116</v>
      </c>
      <c r="I256">
        <v>0</v>
      </c>
      <c r="J256">
        <v>1.1000000000000001</v>
      </c>
      <c r="K256">
        <v>2</v>
      </c>
      <c r="L256">
        <v>0</v>
      </c>
      <c r="M256">
        <v>3</v>
      </c>
      <c r="N256">
        <v>0</v>
      </c>
      <c r="O256">
        <f t="shared" si="19"/>
        <v>-1.8605494485904641</v>
      </c>
      <c r="P256">
        <f t="shared" si="20"/>
        <v>0.13463902209960082</v>
      </c>
      <c r="Q256">
        <f t="shared" si="21"/>
        <v>0</v>
      </c>
      <c r="R256">
        <f t="shared" si="22"/>
        <v>0</v>
      </c>
      <c r="S256">
        <f t="shared" si="23"/>
        <v>0.86536097790039923</v>
      </c>
      <c r="T256">
        <f t="shared" si="24"/>
        <v>-0.14460854361035866</v>
      </c>
    </row>
    <row r="257" spans="1:20" x14ac:dyDescent="0.3">
      <c r="A257">
        <v>70</v>
      </c>
      <c r="B257">
        <v>1</v>
      </c>
      <c r="C257">
        <v>2</v>
      </c>
      <c r="D257">
        <v>156</v>
      </c>
      <c r="E257">
        <v>245</v>
      </c>
      <c r="F257">
        <v>0</v>
      </c>
      <c r="G257">
        <v>2</v>
      </c>
      <c r="H257">
        <v>143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>
        <f t="shared" si="19"/>
        <v>-1.9936929357199418</v>
      </c>
      <c r="P257">
        <f t="shared" si="20"/>
        <v>0.1198667153540072</v>
      </c>
      <c r="Q257">
        <f t="shared" si="21"/>
        <v>0</v>
      </c>
      <c r="R257">
        <f t="shared" si="22"/>
        <v>0</v>
      </c>
      <c r="S257">
        <f t="shared" si="23"/>
        <v>0.88013328464599283</v>
      </c>
      <c r="T257">
        <f t="shared" si="24"/>
        <v>-0.1276819231537743</v>
      </c>
    </row>
    <row r="258" spans="1:20" x14ac:dyDescent="0.3">
      <c r="A258">
        <v>57</v>
      </c>
      <c r="B258">
        <v>1</v>
      </c>
      <c r="C258">
        <v>2</v>
      </c>
      <c r="D258">
        <v>124</v>
      </c>
      <c r="E258">
        <v>261</v>
      </c>
      <c r="F258">
        <v>0</v>
      </c>
      <c r="G258">
        <v>0</v>
      </c>
      <c r="H258">
        <v>141</v>
      </c>
      <c r="I258">
        <v>0</v>
      </c>
      <c r="J258">
        <v>0.3</v>
      </c>
      <c r="K258">
        <v>1</v>
      </c>
      <c r="L258">
        <v>0</v>
      </c>
      <c r="M258">
        <v>7</v>
      </c>
      <c r="N258">
        <v>1</v>
      </c>
      <c r="O258">
        <f t="shared" si="19"/>
        <v>-0.85266343676848466</v>
      </c>
      <c r="P258">
        <f t="shared" si="20"/>
        <v>0.29887443951643078</v>
      </c>
      <c r="Q258">
        <f t="shared" si="21"/>
        <v>0</v>
      </c>
      <c r="R258">
        <f t="shared" si="22"/>
        <v>1</v>
      </c>
      <c r="S258">
        <f t="shared" si="23"/>
        <v>0.29887443951643078</v>
      </c>
      <c r="T258">
        <f t="shared" si="24"/>
        <v>-1.2077317285163869</v>
      </c>
    </row>
    <row r="259" spans="1:20" x14ac:dyDescent="0.3">
      <c r="A259">
        <v>44</v>
      </c>
      <c r="B259">
        <v>0</v>
      </c>
      <c r="C259">
        <v>3</v>
      </c>
      <c r="D259">
        <v>118</v>
      </c>
      <c r="E259">
        <v>242</v>
      </c>
      <c r="F259">
        <v>0</v>
      </c>
      <c r="G259">
        <v>0</v>
      </c>
      <c r="H259">
        <v>149</v>
      </c>
      <c r="I259">
        <v>0</v>
      </c>
      <c r="J259">
        <v>0.3</v>
      </c>
      <c r="K259">
        <v>2</v>
      </c>
      <c r="L259">
        <v>1</v>
      </c>
      <c r="M259">
        <v>3</v>
      </c>
      <c r="N259">
        <v>0</v>
      </c>
      <c r="O259">
        <f t="shared" ref="O259:O302" si="25">SUMPRODUCT(A259:M259,W$6:AI$6)+AJ263</f>
        <v>-1.1505951088077175</v>
      </c>
      <c r="P259">
        <f t="shared" ref="P259:P302" si="26">1/(1+EXP(-O259))</f>
        <v>0.24038040078454026</v>
      </c>
      <c r="Q259">
        <f t="shared" ref="Q259:Q302" si="27">IF(P259&gt;0.5,1,0)</f>
        <v>0</v>
      </c>
      <c r="R259">
        <f t="shared" ref="R259:R298" si="28">IF(N259=Q259,0,1)</f>
        <v>0</v>
      </c>
      <c r="S259">
        <f t="shared" ref="S259:S298" si="29">IF(N259=1,P259,1-P259)</f>
        <v>0.75961959921545974</v>
      </c>
      <c r="T259">
        <f t="shared" ref="T259:T298" si="30">LN(S259)</f>
        <v>-0.27493749835546699</v>
      </c>
    </row>
    <row r="260" spans="1:20" x14ac:dyDescent="0.3">
      <c r="A260">
        <v>58</v>
      </c>
      <c r="B260">
        <v>0</v>
      </c>
      <c r="C260">
        <v>2</v>
      </c>
      <c r="D260">
        <v>136</v>
      </c>
      <c r="E260">
        <v>319</v>
      </c>
      <c r="F260">
        <v>1</v>
      </c>
      <c r="G260">
        <v>2</v>
      </c>
      <c r="H260">
        <v>152</v>
      </c>
      <c r="I260">
        <v>0</v>
      </c>
      <c r="J260">
        <v>0</v>
      </c>
      <c r="K260">
        <v>1</v>
      </c>
      <c r="L260">
        <v>2</v>
      </c>
      <c r="M260">
        <v>3</v>
      </c>
      <c r="N260">
        <v>1</v>
      </c>
      <c r="O260">
        <f t="shared" si="25"/>
        <v>-1.1210960462771258</v>
      </c>
      <c r="P260">
        <f t="shared" si="26"/>
        <v>0.24580803482235636</v>
      </c>
      <c r="Q260">
        <f t="shared" si="27"/>
        <v>0</v>
      </c>
      <c r="R260">
        <f t="shared" si="28"/>
        <v>1</v>
      </c>
      <c r="S260">
        <f t="shared" si="29"/>
        <v>0.24580803482235636</v>
      </c>
      <c r="T260">
        <f t="shared" si="30"/>
        <v>-1.4032043939289811</v>
      </c>
    </row>
    <row r="261" spans="1:20" x14ac:dyDescent="0.3">
      <c r="A261">
        <v>60</v>
      </c>
      <c r="B261">
        <v>0</v>
      </c>
      <c r="C261">
        <v>1</v>
      </c>
      <c r="D261">
        <v>150</v>
      </c>
      <c r="E261">
        <v>240</v>
      </c>
      <c r="F261">
        <v>0</v>
      </c>
      <c r="G261">
        <v>0</v>
      </c>
      <c r="H261">
        <v>171</v>
      </c>
      <c r="I261">
        <v>0</v>
      </c>
      <c r="J261">
        <v>0.9</v>
      </c>
      <c r="K261">
        <v>1</v>
      </c>
      <c r="L261">
        <v>0</v>
      </c>
      <c r="M261">
        <v>3</v>
      </c>
      <c r="N261">
        <v>0</v>
      </c>
      <c r="O261">
        <f t="shared" si="25"/>
        <v>-4.3785206910901842</v>
      </c>
      <c r="P261">
        <f t="shared" si="26"/>
        <v>1.2388501073828335E-2</v>
      </c>
      <c r="Q261">
        <f t="shared" si="27"/>
        <v>0</v>
      </c>
      <c r="R261">
        <f t="shared" si="28"/>
        <v>0</v>
      </c>
      <c r="S261">
        <f t="shared" si="29"/>
        <v>0.98761149892617162</v>
      </c>
      <c r="T261">
        <f t="shared" si="30"/>
        <v>-1.2465878275764909E-2</v>
      </c>
    </row>
    <row r="262" spans="1:20" x14ac:dyDescent="0.3">
      <c r="A262">
        <v>44</v>
      </c>
      <c r="B262">
        <v>1</v>
      </c>
      <c r="C262">
        <v>3</v>
      </c>
      <c r="D262">
        <v>120</v>
      </c>
      <c r="E262">
        <v>226</v>
      </c>
      <c r="F262">
        <v>0</v>
      </c>
      <c r="G262">
        <v>0</v>
      </c>
      <c r="H262">
        <v>169</v>
      </c>
      <c r="I262">
        <v>0</v>
      </c>
      <c r="J262">
        <v>0</v>
      </c>
      <c r="K262">
        <v>1</v>
      </c>
      <c r="L262">
        <v>0</v>
      </c>
      <c r="M262">
        <v>3</v>
      </c>
      <c r="N262">
        <v>0</v>
      </c>
      <c r="O262">
        <f t="shared" si="25"/>
        <v>-2.5950311168736961</v>
      </c>
      <c r="P262">
        <f t="shared" si="26"/>
        <v>6.9458894654508357E-2</v>
      </c>
      <c r="Q262">
        <f t="shared" si="27"/>
        <v>0</v>
      </c>
      <c r="R262">
        <f t="shared" si="28"/>
        <v>0</v>
      </c>
      <c r="S262">
        <f t="shared" si="29"/>
        <v>0.93054110534549161</v>
      </c>
      <c r="T262">
        <f t="shared" si="30"/>
        <v>-7.1989028329608268E-2</v>
      </c>
    </row>
    <row r="263" spans="1:20" x14ac:dyDescent="0.3">
      <c r="A263">
        <v>61</v>
      </c>
      <c r="B263">
        <v>1</v>
      </c>
      <c r="C263">
        <v>4</v>
      </c>
      <c r="D263">
        <v>138</v>
      </c>
      <c r="E263">
        <v>166</v>
      </c>
      <c r="F263">
        <v>0</v>
      </c>
      <c r="G263">
        <v>2</v>
      </c>
      <c r="H263">
        <v>125</v>
      </c>
      <c r="I263">
        <v>1</v>
      </c>
      <c r="J263">
        <v>3.6</v>
      </c>
      <c r="K263">
        <v>2</v>
      </c>
      <c r="L263">
        <v>1</v>
      </c>
      <c r="M263">
        <v>3</v>
      </c>
      <c r="N263">
        <v>1</v>
      </c>
      <c r="O263">
        <f t="shared" si="25"/>
        <v>2.7282131305805244</v>
      </c>
      <c r="P263">
        <f t="shared" si="26"/>
        <v>0.93867105179800892</v>
      </c>
      <c r="Q263">
        <f t="shared" si="27"/>
        <v>1</v>
      </c>
      <c r="R263">
        <f t="shared" si="28"/>
        <v>0</v>
      </c>
      <c r="S263">
        <f t="shared" si="29"/>
        <v>0.93867105179800892</v>
      </c>
      <c r="T263">
        <f t="shared" si="30"/>
        <v>-6.3290178723415261E-2</v>
      </c>
    </row>
    <row r="264" spans="1:20" x14ac:dyDescent="0.3">
      <c r="A264">
        <v>42</v>
      </c>
      <c r="B264">
        <v>1</v>
      </c>
      <c r="C264">
        <v>4</v>
      </c>
      <c r="D264">
        <v>136</v>
      </c>
      <c r="E264">
        <v>315</v>
      </c>
      <c r="F264">
        <v>0</v>
      </c>
      <c r="G264">
        <v>0</v>
      </c>
      <c r="H264">
        <v>125</v>
      </c>
      <c r="I264">
        <v>1</v>
      </c>
      <c r="J264">
        <v>1.8</v>
      </c>
      <c r="K264">
        <v>2</v>
      </c>
      <c r="L264">
        <v>0</v>
      </c>
      <c r="M264">
        <v>6</v>
      </c>
      <c r="N264">
        <v>1</v>
      </c>
      <c r="O264">
        <f t="shared" si="25"/>
        <v>2.6853558887950046</v>
      </c>
      <c r="P264">
        <f t="shared" si="26"/>
        <v>0.93615697823637156</v>
      </c>
      <c r="Q264">
        <f t="shared" si="27"/>
        <v>1</v>
      </c>
      <c r="R264">
        <f t="shared" si="28"/>
        <v>0</v>
      </c>
      <c r="S264">
        <f t="shared" si="29"/>
        <v>0.93615697823637156</v>
      </c>
      <c r="T264">
        <f t="shared" si="30"/>
        <v>-6.5972104775599935E-2</v>
      </c>
    </row>
    <row r="265" spans="1:20" x14ac:dyDescent="0.3">
      <c r="A265">
        <v>59</v>
      </c>
      <c r="B265">
        <v>1</v>
      </c>
      <c r="C265">
        <v>3</v>
      </c>
      <c r="D265">
        <v>126</v>
      </c>
      <c r="E265">
        <v>218</v>
      </c>
      <c r="F265">
        <v>1</v>
      </c>
      <c r="G265">
        <v>0</v>
      </c>
      <c r="H265">
        <v>134</v>
      </c>
      <c r="I265">
        <v>0</v>
      </c>
      <c r="J265">
        <v>2.2000000000000002</v>
      </c>
      <c r="K265">
        <v>2</v>
      </c>
      <c r="L265">
        <v>1</v>
      </c>
      <c r="M265">
        <v>6</v>
      </c>
      <c r="N265">
        <v>1</v>
      </c>
      <c r="O265">
        <f t="shared" si="25"/>
        <v>0.57967785788952053</v>
      </c>
      <c r="P265">
        <f t="shared" si="26"/>
        <v>0.64099327807140005</v>
      </c>
      <c r="Q265">
        <f t="shared" si="27"/>
        <v>1</v>
      </c>
      <c r="R265">
        <f t="shared" si="28"/>
        <v>0</v>
      </c>
      <c r="S265">
        <f t="shared" si="29"/>
        <v>0.64099327807140005</v>
      </c>
      <c r="T265">
        <f t="shared" si="30"/>
        <v>-0.44473630874453313</v>
      </c>
    </row>
    <row r="266" spans="1:20" x14ac:dyDescent="0.3">
      <c r="A266">
        <v>40</v>
      </c>
      <c r="B266">
        <v>1</v>
      </c>
      <c r="C266">
        <v>4</v>
      </c>
      <c r="D266">
        <v>152</v>
      </c>
      <c r="E266">
        <v>223</v>
      </c>
      <c r="F266">
        <v>0</v>
      </c>
      <c r="G266">
        <v>0</v>
      </c>
      <c r="H266">
        <v>181</v>
      </c>
      <c r="I266">
        <v>0</v>
      </c>
      <c r="J266">
        <v>0</v>
      </c>
      <c r="K266">
        <v>1</v>
      </c>
      <c r="L266">
        <v>0</v>
      </c>
      <c r="M266">
        <v>7</v>
      </c>
      <c r="N266">
        <v>1</v>
      </c>
      <c r="O266">
        <f t="shared" si="25"/>
        <v>-0.61714558307406753</v>
      </c>
      <c r="P266">
        <f t="shared" si="26"/>
        <v>0.3504309220350304</v>
      </c>
      <c r="Q266">
        <f t="shared" si="27"/>
        <v>0</v>
      </c>
      <c r="R266">
        <f t="shared" si="28"/>
        <v>1</v>
      </c>
      <c r="S266">
        <f t="shared" si="29"/>
        <v>0.3504309220350304</v>
      </c>
      <c r="T266">
        <f t="shared" si="30"/>
        <v>-1.0485916759966427</v>
      </c>
    </row>
    <row r="267" spans="1:20" x14ac:dyDescent="0.3">
      <c r="A267">
        <v>42</v>
      </c>
      <c r="B267">
        <v>1</v>
      </c>
      <c r="C267">
        <v>3</v>
      </c>
      <c r="D267">
        <v>130</v>
      </c>
      <c r="E267">
        <v>180</v>
      </c>
      <c r="F267">
        <v>0</v>
      </c>
      <c r="G267">
        <v>0</v>
      </c>
      <c r="H267">
        <v>150</v>
      </c>
      <c r="I267">
        <v>0</v>
      </c>
      <c r="J267">
        <v>0</v>
      </c>
      <c r="K267">
        <v>1</v>
      </c>
      <c r="L267">
        <v>0</v>
      </c>
      <c r="M267">
        <v>3</v>
      </c>
      <c r="N267">
        <v>0</v>
      </c>
      <c r="O267">
        <f t="shared" si="25"/>
        <v>-1.746833583510325</v>
      </c>
      <c r="P267">
        <f t="shared" si="26"/>
        <v>0.14844702093038745</v>
      </c>
      <c r="Q267">
        <f t="shared" si="27"/>
        <v>0</v>
      </c>
      <c r="R267">
        <f t="shared" si="28"/>
        <v>0</v>
      </c>
      <c r="S267">
        <f t="shared" si="29"/>
        <v>0.85155297906961258</v>
      </c>
      <c r="T267">
        <f t="shared" si="30"/>
        <v>-0.16069356229508253</v>
      </c>
    </row>
    <row r="268" spans="1:20" x14ac:dyDescent="0.3">
      <c r="A268">
        <v>61</v>
      </c>
      <c r="B268">
        <v>1</v>
      </c>
      <c r="C268">
        <v>4</v>
      </c>
      <c r="D268">
        <v>140</v>
      </c>
      <c r="E268">
        <v>207</v>
      </c>
      <c r="F268">
        <v>0</v>
      </c>
      <c r="G268">
        <v>2</v>
      </c>
      <c r="H268">
        <v>138</v>
      </c>
      <c r="I268">
        <v>1</v>
      </c>
      <c r="J268">
        <v>1.9</v>
      </c>
      <c r="K268">
        <v>1</v>
      </c>
      <c r="L268">
        <v>1</v>
      </c>
      <c r="M268">
        <v>7</v>
      </c>
      <c r="N268">
        <v>1</v>
      </c>
      <c r="O268">
        <f t="shared" si="25"/>
        <v>3.0178067591902984</v>
      </c>
      <c r="P268">
        <f t="shared" si="26"/>
        <v>0.95337212466989751</v>
      </c>
      <c r="Q268">
        <f t="shared" si="27"/>
        <v>1</v>
      </c>
      <c r="R268">
        <f t="shared" si="28"/>
        <v>0</v>
      </c>
      <c r="S268">
        <f t="shared" si="29"/>
        <v>0.95337212466989751</v>
      </c>
      <c r="T268">
        <f t="shared" si="30"/>
        <v>-4.7749974450993528E-2</v>
      </c>
    </row>
    <row r="269" spans="1:20" x14ac:dyDescent="0.3">
      <c r="A269">
        <v>66</v>
      </c>
      <c r="B269">
        <v>1</v>
      </c>
      <c r="C269">
        <v>4</v>
      </c>
      <c r="D269">
        <v>160</v>
      </c>
      <c r="E269">
        <v>228</v>
      </c>
      <c r="F269">
        <v>0</v>
      </c>
      <c r="G269">
        <v>2</v>
      </c>
      <c r="H269">
        <v>138</v>
      </c>
      <c r="I269">
        <v>0</v>
      </c>
      <c r="J269">
        <v>2.2999999999999998</v>
      </c>
      <c r="K269">
        <v>1</v>
      </c>
      <c r="L269">
        <v>0</v>
      </c>
      <c r="M269">
        <v>6</v>
      </c>
      <c r="N269">
        <v>0</v>
      </c>
      <c r="O269">
        <f t="shared" si="25"/>
        <v>0.82524725191355164</v>
      </c>
      <c r="P269">
        <f t="shared" si="26"/>
        <v>0.69534904941330622</v>
      </c>
      <c r="Q269">
        <f t="shared" si="27"/>
        <v>1</v>
      </c>
      <c r="R269">
        <f t="shared" si="28"/>
        <v>1</v>
      </c>
      <c r="S269">
        <f t="shared" si="29"/>
        <v>0.30465095058669378</v>
      </c>
      <c r="T269">
        <f t="shared" si="30"/>
        <v>-1.1885885820341928</v>
      </c>
    </row>
    <row r="270" spans="1:20" x14ac:dyDescent="0.3">
      <c r="A270">
        <v>46</v>
      </c>
      <c r="B270">
        <v>1</v>
      </c>
      <c r="C270">
        <v>4</v>
      </c>
      <c r="D270">
        <v>140</v>
      </c>
      <c r="E270">
        <v>311</v>
      </c>
      <c r="F270">
        <v>0</v>
      </c>
      <c r="G270">
        <v>0</v>
      </c>
      <c r="H270">
        <v>120</v>
      </c>
      <c r="I270">
        <v>1</v>
      </c>
      <c r="J270">
        <v>1.8</v>
      </c>
      <c r="K270">
        <v>2</v>
      </c>
      <c r="L270">
        <v>2</v>
      </c>
      <c r="M270">
        <v>7</v>
      </c>
      <c r="N270">
        <v>1</v>
      </c>
      <c r="O270">
        <f t="shared" si="25"/>
        <v>5.6021258368870734</v>
      </c>
      <c r="P270">
        <f t="shared" si="26"/>
        <v>0.99632355511098858</v>
      </c>
      <c r="Q270">
        <f t="shared" si="27"/>
        <v>1</v>
      </c>
      <c r="R270">
        <f t="shared" si="28"/>
        <v>0</v>
      </c>
      <c r="S270">
        <f t="shared" si="29"/>
        <v>0.99632355511098858</v>
      </c>
      <c r="T270">
        <f t="shared" si="30"/>
        <v>-3.683219622241793E-3</v>
      </c>
    </row>
    <row r="271" spans="1:20" x14ac:dyDescent="0.3">
      <c r="A271">
        <v>71</v>
      </c>
      <c r="B271">
        <v>0</v>
      </c>
      <c r="C271">
        <v>4</v>
      </c>
      <c r="D271">
        <v>112</v>
      </c>
      <c r="E271">
        <v>149</v>
      </c>
      <c r="F271">
        <v>0</v>
      </c>
      <c r="G271">
        <v>0</v>
      </c>
      <c r="H271">
        <v>125</v>
      </c>
      <c r="I271">
        <v>0</v>
      </c>
      <c r="J271">
        <v>1.6</v>
      </c>
      <c r="K271">
        <v>2</v>
      </c>
      <c r="L271">
        <v>0</v>
      </c>
      <c r="M271">
        <v>3</v>
      </c>
      <c r="N271">
        <v>0</v>
      </c>
      <c r="O271">
        <f t="shared" si="25"/>
        <v>-2.2899994131459116</v>
      </c>
      <c r="P271">
        <f t="shared" si="26"/>
        <v>9.1954598932693171E-2</v>
      </c>
      <c r="Q271">
        <f t="shared" si="27"/>
        <v>0</v>
      </c>
      <c r="R271">
        <f t="shared" si="28"/>
        <v>0</v>
      </c>
      <c r="S271">
        <f t="shared" si="29"/>
        <v>0.9080454010673068</v>
      </c>
      <c r="T271">
        <f t="shared" si="30"/>
        <v>-9.6460900455412849E-2</v>
      </c>
    </row>
    <row r="272" spans="1:20" x14ac:dyDescent="0.3">
      <c r="A272">
        <v>59</v>
      </c>
      <c r="B272">
        <v>1</v>
      </c>
      <c r="C272">
        <v>1</v>
      </c>
      <c r="D272">
        <v>134</v>
      </c>
      <c r="E272">
        <v>204</v>
      </c>
      <c r="F272">
        <v>0</v>
      </c>
      <c r="G272">
        <v>0</v>
      </c>
      <c r="H272">
        <v>162</v>
      </c>
      <c r="I272">
        <v>0</v>
      </c>
      <c r="J272">
        <v>0.8</v>
      </c>
      <c r="K272">
        <v>1</v>
      </c>
      <c r="L272">
        <v>2</v>
      </c>
      <c r="M272">
        <v>3</v>
      </c>
      <c r="N272">
        <v>1</v>
      </c>
      <c r="O272">
        <f t="shared" si="25"/>
        <v>-0.88689814473059236</v>
      </c>
      <c r="P272">
        <f t="shared" si="26"/>
        <v>0.29175035598839194</v>
      </c>
      <c r="Q272">
        <f t="shared" si="27"/>
        <v>0</v>
      </c>
      <c r="R272">
        <f t="shared" si="28"/>
        <v>1</v>
      </c>
      <c r="S272">
        <f t="shared" si="29"/>
        <v>0.29175035598839194</v>
      </c>
      <c r="T272">
        <f t="shared" si="30"/>
        <v>-1.2318567876332103</v>
      </c>
    </row>
    <row r="273" spans="1:20" x14ac:dyDescent="0.3">
      <c r="A273">
        <v>64</v>
      </c>
      <c r="B273">
        <v>1</v>
      </c>
      <c r="C273">
        <v>1</v>
      </c>
      <c r="D273">
        <v>170</v>
      </c>
      <c r="E273">
        <v>227</v>
      </c>
      <c r="F273">
        <v>0</v>
      </c>
      <c r="G273">
        <v>2</v>
      </c>
      <c r="H273">
        <v>155</v>
      </c>
      <c r="I273">
        <v>0</v>
      </c>
      <c r="J273">
        <v>0.6</v>
      </c>
      <c r="K273">
        <v>2</v>
      </c>
      <c r="L273">
        <v>0</v>
      </c>
      <c r="M273">
        <v>7</v>
      </c>
      <c r="N273">
        <v>0</v>
      </c>
      <c r="O273">
        <f t="shared" si="25"/>
        <v>-0.54040850131191087</v>
      </c>
      <c r="P273">
        <f t="shared" si="26"/>
        <v>0.3680925595653371</v>
      </c>
      <c r="Q273">
        <f t="shared" si="27"/>
        <v>0</v>
      </c>
      <c r="R273">
        <f t="shared" si="28"/>
        <v>0</v>
      </c>
      <c r="S273">
        <f t="shared" si="29"/>
        <v>0.63190744043466296</v>
      </c>
      <c r="T273">
        <f t="shared" si="30"/>
        <v>-0.45901235056930628</v>
      </c>
    </row>
    <row r="274" spans="1:20" x14ac:dyDescent="0.3">
      <c r="A274">
        <v>66</v>
      </c>
      <c r="B274">
        <v>0</v>
      </c>
      <c r="C274">
        <v>3</v>
      </c>
      <c r="D274">
        <v>146</v>
      </c>
      <c r="E274">
        <v>278</v>
      </c>
      <c r="F274">
        <v>0</v>
      </c>
      <c r="G274">
        <v>2</v>
      </c>
      <c r="H274">
        <v>152</v>
      </c>
      <c r="I274">
        <v>0</v>
      </c>
      <c r="J274">
        <v>0</v>
      </c>
      <c r="K274">
        <v>2</v>
      </c>
      <c r="L274">
        <v>1</v>
      </c>
      <c r="M274">
        <v>3</v>
      </c>
      <c r="N274">
        <v>0</v>
      </c>
      <c r="O274">
        <f t="shared" si="25"/>
        <v>-1.2554631712964008</v>
      </c>
      <c r="P274">
        <f t="shared" si="26"/>
        <v>0.22175587057688162</v>
      </c>
      <c r="Q274">
        <f t="shared" si="27"/>
        <v>0</v>
      </c>
      <c r="R274">
        <f t="shared" si="28"/>
        <v>0</v>
      </c>
      <c r="S274">
        <f t="shared" si="29"/>
        <v>0.77824412942311838</v>
      </c>
      <c r="T274">
        <f t="shared" si="30"/>
        <v>-0.25071501299356891</v>
      </c>
    </row>
    <row r="275" spans="1:20" x14ac:dyDescent="0.3">
      <c r="A275">
        <v>39</v>
      </c>
      <c r="B275">
        <v>0</v>
      </c>
      <c r="C275">
        <v>3</v>
      </c>
      <c r="D275">
        <v>138</v>
      </c>
      <c r="E275">
        <v>220</v>
      </c>
      <c r="F275">
        <v>0</v>
      </c>
      <c r="G275">
        <v>0</v>
      </c>
      <c r="H275">
        <v>152</v>
      </c>
      <c r="I275">
        <v>0</v>
      </c>
      <c r="J275">
        <v>0</v>
      </c>
      <c r="K275">
        <v>2</v>
      </c>
      <c r="L275">
        <v>0</v>
      </c>
      <c r="M275">
        <v>3</v>
      </c>
      <c r="N275">
        <v>0</v>
      </c>
      <c r="O275">
        <f t="shared" si="25"/>
        <v>-2.1299280152652349</v>
      </c>
      <c r="P275">
        <f t="shared" si="26"/>
        <v>0.10622182562215075</v>
      </c>
      <c r="Q275">
        <f t="shared" si="27"/>
        <v>0</v>
      </c>
      <c r="R275">
        <f t="shared" si="28"/>
        <v>0</v>
      </c>
      <c r="S275">
        <f t="shared" si="29"/>
        <v>0.89377817437784923</v>
      </c>
      <c r="T275">
        <f t="shared" si="30"/>
        <v>-0.1122976616913718</v>
      </c>
    </row>
    <row r="276" spans="1:20" x14ac:dyDescent="0.3">
      <c r="A276">
        <v>57</v>
      </c>
      <c r="B276">
        <v>1</v>
      </c>
      <c r="C276">
        <v>2</v>
      </c>
      <c r="D276">
        <v>154</v>
      </c>
      <c r="E276">
        <v>232</v>
      </c>
      <c r="F276">
        <v>0</v>
      </c>
      <c r="G276">
        <v>2</v>
      </c>
      <c r="H276">
        <v>164</v>
      </c>
      <c r="I276">
        <v>0</v>
      </c>
      <c r="J276">
        <v>0</v>
      </c>
      <c r="K276">
        <v>1</v>
      </c>
      <c r="L276">
        <v>1</v>
      </c>
      <c r="M276">
        <v>3</v>
      </c>
      <c r="N276">
        <v>1</v>
      </c>
      <c r="O276">
        <f t="shared" si="25"/>
        <v>-1.0268452767259704</v>
      </c>
      <c r="P276">
        <f t="shared" si="26"/>
        <v>0.26369617002832746</v>
      </c>
      <c r="Q276">
        <f t="shared" si="27"/>
        <v>0</v>
      </c>
      <c r="R276">
        <f t="shared" si="28"/>
        <v>1</v>
      </c>
      <c r="S276">
        <f t="shared" si="29"/>
        <v>0.26369617002832746</v>
      </c>
      <c r="T276">
        <f t="shared" si="30"/>
        <v>-1.3329577097013412</v>
      </c>
    </row>
    <row r="277" spans="1:20" x14ac:dyDescent="0.3">
      <c r="A277">
        <v>58</v>
      </c>
      <c r="B277">
        <v>0</v>
      </c>
      <c r="C277">
        <v>4</v>
      </c>
      <c r="D277">
        <v>130</v>
      </c>
      <c r="E277">
        <v>197</v>
      </c>
      <c r="F277">
        <v>0</v>
      </c>
      <c r="G277">
        <v>0</v>
      </c>
      <c r="H277">
        <v>131</v>
      </c>
      <c r="I277">
        <v>0</v>
      </c>
      <c r="J277">
        <v>0.6</v>
      </c>
      <c r="K277">
        <v>2</v>
      </c>
      <c r="L277">
        <v>0</v>
      </c>
      <c r="M277">
        <v>3</v>
      </c>
      <c r="N277">
        <v>0</v>
      </c>
      <c r="O277">
        <f t="shared" si="25"/>
        <v>-1.8135486416801019</v>
      </c>
      <c r="P277">
        <f t="shared" si="26"/>
        <v>0.14020978698258216</v>
      </c>
      <c r="Q277">
        <f t="shared" si="27"/>
        <v>0</v>
      </c>
      <c r="R277">
        <f t="shared" si="28"/>
        <v>0</v>
      </c>
      <c r="S277">
        <f t="shared" si="29"/>
        <v>0.85979021301741787</v>
      </c>
      <c r="T277">
        <f t="shared" si="30"/>
        <v>-0.15106685784422255</v>
      </c>
    </row>
    <row r="278" spans="1:20" x14ac:dyDescent="0.3">
      <c r="A278">
        <v>57</v>
      </c>
      <c r="B278">
        <v>1</v>
      </c>
      <c r="C278">
        <v>4</v>
      </c>
      <c r="D278">
        <v>110</v>
      </c>
      <c r="E278">
        <v>335</v>
      </c>
      <c r="F278">
        <v>0</v>
      </c>
      <c r="G278">
        <v>0</v>
      </c>
      <c r="H278">
        <v>143</v>
      </c>
      <c r="I278">
        <v>1</v>
      </c>
      <c r="J278">
        <v>3</v>
      </c>
      <c r="K278">
        <v>2</v>
      </c>
      <c r="L278">
        <v>1</v>
      </c>
      <c r="M278">
        <v>7</v>
      </c>
      <c r="N278">
        <v>1</v>
      </c>
      <c r="O278">
        <f t="shared" si="25"/>
        <v>2.9124448163622674</v>
      </c>
      <c r="P278">
        <f t="shared" si="26"/>
        <v>0.94845821107186312</v>
      </c>
      <c r="Q278">
        <f t="shared" si="27"/>
        <v>1</v>
      </c>
      <c r="R278">
        <f t="shared" si="28"/>
        <v>0</v>
      </c>
      <c r="S278">
        <f t="shared" si="29"/>
        <v>0.94845821107186312</v>
      </c>
      <c r="T278">
        <f t="shared" si="30"/>
        <v>-5.291754848817553E-2</v>
      </c>
    </row>
    <row r="279" spans="1:20" x14ac:dyDescent="0.3">
      <c r="A279">
        <v>47</v>
      </c>
      <c r="B279">
        <v>1</v>
      </c>
      <c r="C279">
        <v>3</v>
      </c>
      <c r="D279">
        <v>130</v>
      </c>
      <c r="E279">
        <v>253</v>
      </c>
      <c r="F279">
        <v>0</v>
      </c>
      <c r="G279">
        <v>0</v>
      </c>
      <c r="H279">
        <v>179</v>
      </c>
      <c r="I279">
        <v>0</v>
      </c>
      <c r="J279">
        <v>0</v>
      </c>
      <c r="K279">
        <v>1</v>
      </c>
      <c r="L279">
        <v>0</v>
      </c>
      <c r="M279">
        <v>3</v>
      </c>
      <c r="N279">
        <v>0</v>
      </c>
      <c r="O279">
        <f t="shared" si="25"/>
        <v>-2.8919478183127376</v>
      </c>
      <c r="P279">
        <f t="shared" si="26"/>
        <v>5.2553049603154871E-2</v>
      </c>
      <c r="Q279">
        <f t="shared" si="27"/>
        <v>0</v>
      </c>
      <c r="R279">
        <f t="shared" si="28"/>
        <v>0</v>
      </c>
      <c r="S279">
        <f t="shared" si="29"/>
        <v>0.94744695039684512</v>
      </c>
      <c r="T279">
        <f t="shared" si="30"/>
        <v>-5.3984332620076111E-2</v>
      </c>
    </row>
    <row r="280" spans="1:20" x14ac:dyDescent="0.3">
      <c r="A280">
        <v>55</v>
      </c>
      <c r="B280">
        <v>0</v>
      </c>
      <c r="C280">
        <v>4</v>
      </c>
      <c r="D280">
        <v>128</v>
      </c>
      <c r="E280">
        <v>205</v>
      </c>
      <c r="F280">
        <v>0</v>
      </c>
      <c r="G280">
        <v>1</v>
      </c>
      <c r="H280">
        <v>130</v>
      </c>
      <c r="I280">
        <v>1</v>
      </c>
      <c r="J280">
        <v>2</v>
      </c>
      <c r="K280">
        <v>2</v>
      </c>
      <c r="L280">
        <v>1</v>
      </c>
      <c r="M280">
        <v>7</v>
      </c>
      <c r="N280">
        <v>1</v>
      </c>
      <c r="O280">
        <f t="shared" si="25"/>
        <v>2.4894132284807302</v>
      </c>
      <c r="P280">
        <f t="shared" si="26"/>
        <v>0.92339630734227007</v>
      </c>
      <c r="Q280">
        <f t="shared" si="27"/>
        <v>1</v>
      </c>
      <c r="R280">
        <f t="shared" si="28"/>
        <v>0</v>
      </c>
      <c r="S280">
        <f t="shared" si="29"/>
        <v>0.92339630734227007</v>
      </c>
      <c r="T280">
        <f t="shared" si="30"/>
        <v>-7.9696767896809018E-2</v>
      </c>
    </row>
    <row r="281" spans="1:20" x14ac:dyDescent="0.3">
      <c r="A281">
        <v>35</v>
      </c>
      <c r="B281">
        <v>1</v>
      </c>
      <c r="C281">
        <v>2</v>
      </c>
      <c r="D281">
        <v>122</v>
      </c>
      <c r="E281">
        <v>192</v>
      </c>
      <c r="F281">
        <v>0</v>
      </c>
      <c r="G281">
        <v>0</v>
      </c>
      <c r="H281">
        <v>174</v>
      </c>
      <c r="I281">
        <v>0</v>
      </c>
      <c r="J281">
        <v>0</v>
      </c>
      <c r="K281">
        <v>1</v>
      </c>
      <c r="L281">
        <v>0</v>
      </c>
      <c r="M281">
        <v>3</v>
      </c>
      <c r="N281">
        <v>0</v>
      </c>
      <c r="O281">
        <f t="shared" si="25"/>
        <v>-2.821683604581394</v>
      </c>
      <c r="P281">
        <f t="shared" si="26"/>
        <v>5.6163620208885344E-2</v>
      </c>
      <c r="Q281">
        <f t="shared" si="27"/>
        <v>0</v>
      </c>
      <c r="R281">
        <f t="shared" si="28"/>
        <v>0</v>
      </c>
      <c r="S281">
        <f t="shared" si="29"/>
        <v>0.94383637979111468</v>
      </c>
      <c r="T281">
        <f t="shared" si="30"/>
        <v>-5.7802454351872048E-2</v>
      </c>
    </row>
    <row r="282" spans="1:20" x14ac:dyDescent="0.3">
      <c r="A282">
        <v>61</v>
      </c>
      <c r="B282">
        <v>1</v>
      </c>
      <c r="C282">
        <v>4</v>
      </c>
      <c r="D282">
        <v>148</v>
      </c>
      <c r="E282">
        <v>203</v>
      </c>
      <c r="F282">
        <v>0</v>
      </c>
      <c r="G282">
        <v>0</v>
      </c>
      <c r="H282">
        <v>161</v>
      </c>
      <c r="I282">
        <v>0</v>
      </c>
      <c r="J282">
        <v>0</v>
      </c>
      <c r="K282">
        <v>1</v>
      </c>
      <c r="L282">
        <v>1</v>
      </c>
      <c r="M282">
        <v>7</v>
      </c>
      <c r="N282">
        <v>1</v>
      </c>
      <c r="O282">
        <f t="shared" si="25"/>
        <v>0.34918198534040101</v>
      </c>
      <c r="P282">
        <f t="shared" si="26"/>
        <v>0.58641919844821033</v>
      </c>
      <c r="Q282">
        <f t="shared" si="27"/>
        <v>1</v>
      </c>
      <c r="R282">
        <f t="shared" si="28"/>
        <v>0</v>
      </c>
      <c r="S282">
        <f t="shared" si="29"/>
        <v>0.58641919844821033</v>
      </c>
      <c r="T282">
        <f t="shared" si="30"/>
        <v>-0.53372038943639499</v>
      </c>
    </row>
    <row r="283" spans="1:20" x14ac:dyDescent="0.3">
      <c r="A283">
        <v>58</v>
      </c>
      <c r="B283">
        <v>1</v>
      </c>
      <c r="C283">
        <v>4</v>
      </c>
      <c r="D283">
        <v>114</v>
      </c>
      <c r="E283">
        <v>318</v>
      </c>
      <c r="F283">
        <v>0</v>
      </c>
      <c r="G283">
        <v>1</v>
      </c>
      <c r="H283">
        <v>140</v>
      </c>
      <c r="I283">
        <v>0</v>
      </c>
      <c r="J283">
        <v>4.4000000000000004</v>
      </c>
      <c r="K283">
        <v>3</v>
      </c>
      <c r="L283">
        <v>3</v>
      </c>
      <c r="M283">
        <v>6</v>
      </c>
      <c r="N283">
        <v>1</v>
      </c>
      <c r="O283">
        <f t="shared" si="25"/>
        <v>5.275532367184022</v>
      </c>
      <c r="P283">
        <f t="shared" si="26"/>
        <v>0.99491079964340035</v>
      </c>
      <c r="Q283">
        <f t="shared" si="27"/>
        <v>1</v>
      </c>
      <c r="R283">
        <f t="shared" si="28"/>
        <v>0</v>
      </c>
      <c r="S283">
        <f t="shared" si="29"/>
        <v>0.99491079964340035</v>
      </c>
      <c r="T283">
        <f t="shared" si="30"/>
        <v>-5.1021944418178106E-3</v>
      </c>
    </row>
    <row r="284" spans="1:20" x14ac:dyDescent="0.3">
      <c r="A284">
        <v>58</v>
      </c>
      <c r="B284">
        <v>0</v>
      </c>
      <c r="C284">
        <v>4</v>
      </c>
      <c r="D284">
        <v>170</v>
      </c>
      <c r="E284">
        <v>225</v>
      </c>
      <c r="F284">
        <v>1</v>
      </c>
      <c r="G284">
        <v>2</v>
      </c>
      <c r="H284">
        <v>146</v>
      </c>
      <c r="I284">
        <v>1</v>
      </c>
      <c r="J284">
        <v>2.8</v>
      </c>
      <c r="K284">
        <v>2</v>
      </c>
      <c r="L284">
        <v>2</v>
      </c>
      <c r="M284">
        <v>6</v>
      </c>
      <c r="N284">
        <v>1</v>
      </c>
      <c r="O284">
        <f t="shared" si="25"/>
        <v>3.0689694881683649</v>
      </c>
      <c r="P284">
        <f t="shared" si="26"/>
        <v>0.95559446452205254</v>
      </c>
      <c r="Q284">
        <f t="shared" si="27"/>
        <v>1</v>
      </c>
      <c r="R284">
        <f t="shared" si="28"/>
        <v>0</v>
      </c>
      <c r="S284">
        <f t="shared" si="29"/>
        <v>0.95559446452205254</v>
      </c>
      <c r="T284">
        <f t="shared" si="30"/>
        <v>-4.5421656219871577E-2</v>
      </c>
    </row>
    <row r="285" spans="1:20" x14ac:dyDescent="0.3">
      <c r="A285">
        <v>56</v>
      </c>
      <c r="B285">
        <v>1</v>
      </c>
      <c r="C285">
        <v>2</v>
      </c>
      <c r="D285">
        <v>130</v>
      </c>
      <c r="E285">
        <v>221</v>
      </c>
      <c r="F285">
        <v>0</v>
      </c>
      <c r="G285">
        <v>2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7</v>
      </c>
      <c r="N285">
        <v>0</v>
      </c>
      <c r="O285">
        <f t="shared" si="25"/>
        <v>-1.1809561507939672</v>
      </c>
      <c r="P285">
        <f t="shared" si="26"/>
        <v>0.23488032133306697</v>
      </c>
      <c r="Q285">
        <f t="shared" si="27"/>
        <v>0</v>
      </c>
      <c r="R285">
        <f t="shared" si="28"/>
        <v>0</v>
      </c>
      <c r="S285">
        <f t="shared" si="29"/>
        <v>0.76511967866693298</v>
      </c>
      <c r="T285">
        <f t="shared" si="30"/>
        <v>-0.2677230146896114</v>
      </c>
    </row>
    <row r="286" spans="1:20" x14ac:dyDescent="0.3">
      <c r="A286">
        <v>56</v>
      </c>
      <c r="B286">
        <v>1</v>
      </c>
      <c r="C286">
        <v>2</v>
      </c>
      <c r="D286">
        <v>120</v>
      </c>
      <c r="E286">
        <v>240</v>
      </c>
      <c r="F286">
        <v>0</v>
      </c>
      <c r="G286">
        <v>0</v>
      </c>
      <c r="H286">
        <v>169</v>
      </c>
      <c r="I286">
        <v>0</v>
      </c>
      <c r="J286">
        <v>0</v>
      </c>
      <c r="K286">
        <v>3</v>
      </c>
      <c r="L286">
        <v>0</v>
      </c>
      <c r="M286">
        <v>3</v>
      </c>
      <c r="N286">
        <v>0</v>
      </c>
      <c r="O286">
        <f t="shared" si="25"/>
        <v>-2.8856168783106702</v>
      </c>
      <c r="P286">
        <f t="shared" si="26"/>
        <v>5.2869169306592509E-2</v>
      </c>
      <c r="Q286">
        <f t="shared" si="27"/>
        <v>0</v>
      </c>
      <c r="R286">
        <f t="shared" si="28"/>
        <v>0</v>
      </c>
      <c r="S286">
        <f t="shared" si="29"/>
        <v>0.94713083069340753</v>
      </c>
      <c r="T286">
        <f t="shared" si="30"/>
        <v>-5.4318042546927812E-2</v>
      </c>
    </row>
    <row r="287" spans="1:20" x14ac:dyDescent="0.3">
      <c r="A287">
        <v>67</v>
      </c>
      <c r="B287">
        <v>1</v>
      </c>
      <c r="C287">
        <v>3</v>
      </c>
      <c r="D287">
        <v>152</v>
      </c>
      <c r="E287">
        <v>212</v>
      </c>
      <c r="F287">
        <v>0</v>
      </c>
      <c r="G287">
        <v>2</v>
      </c>
      <c r="H287">
        <v>150</v>
      </c>
      <c r="I287">
        <v>0</v>
      </c>
      <c r="J287">
        <v>0.8</v>
      </c>
      <c r="K287">
        <v>2</v>
      </c>
      <c r="L287">
        <v>0</v>
      </c>
      <c r="M287">
        <v>7</v>
      </c>
      <c r="N287">
        <v>1</v>
      </c>
      <c r="O287">
        <f t="shared" si="25"/>
        <v>2.3086646907669373E-2</v>
      </c>
      <c r="P287">
        <f t="shared" si="26"/>
        <v>0.5057714053858442</v>
      </c>
      <c r="Q287">
        <f t="shared" si="27"/>
        <v>1</v>
      </c>
      <c r="R287">
        <f t="shared" si="28"/>
        <v>0</v>
      </c>
      <c r="S287">
        <f t="shared" si="29"/>
        <v>0.5057714053858442</v>
      </c>
      <c r="T287">
        <f t="shared" si="30"/>
        <v>-0.68167047978475037</v>
      </c>
    </row>
    <row r="288" spans="1:20" x14ac:dyDescent="0.3">
      <c r="A288">
        <v>55</v>
      </c>
      <c r="B288">
        <v>0</v>
      </c>
      <c r="C288">
        <v>2</v>
      </c>
      <c r="D288">
        <v>132</v>
      </c>
      <c r="E288">
        <v>342</v>
      </c>
      <c r="F288">
        <v>0</v>
      </c>
      <c r="G288">
        <v>0</v>
      </c>
      <c r="H288">
        <v>166</v>
      </c>
      <c r="I288">
        <v>0</v>
      </c>
      <c r="J288">
        <v>1.2</v>
      </c>
      <c r="K288">
        <v>1</v>
      </c>
      <c r="L288">
        <v>0</v>
      </c>
      <c r="M288">
        <v>3</v>
      </c>
      <c r="N288">
        <v>0</v>
      </c>
      <c r="O288">
        <f t="shared" si="25"/>
        <v>-3.5118873117848288</v>
      </c>
      <c r="P288">
        <f t="shared" si="26"/>
        <v>2.8975886662519934E-2</v>
      </c>
      <c r="Q288">
        <f t="shared" si="27"/>
        <v>0</v>
      </c>
      <c r="R288">
        <f t="shared" si="28"/>
        <v>0</v>
      </c>
      <c r="S288">
        <f t="shared" si="29"/>
        <v>0.97102411333748007</v>
      </c>
      <c r="T288">
        <f t="shared" si="30"/>
        <v>-2.940397748991036E-2</v>
      </c>
    </row>
    <row r="289" spans="1:20" x14ac:dyDescent="0.3">
      <c r="A289">
        <v>44</v>
      </c>
      <c r="B289">
        <v>1</v>
      </c>
      <c r="C289">
        <v>4</v>
      </c>
      <c r="D289">
        <v>120</v>
      </c>
      <c r="E289">
        <v>169</v>
      </c>
      <c r="F289">
        <v>0</v>
      </c>
      <c r="G289">
        <v>0</v>
      </c>
      <c r="H289">
        <v>144</v>
      </c>
      <c r="I289">
        <v>1</v>
      </c>
      <c r="J289">
        <v>2.8</v>
      </c>
      <c r="K289">
        <v>3</v>
      </c>
      <c r="L289">
        <v>0</v>
      </c>
      <c r="M289">
        <v>6</v>
      </c>
      <c r="N289">
        <v>1</v>
      </c>
      <c r="O289">
        <f t="shared" si="25"/>
        <v>1.8195519814927559</v>
      </c>
      <c r="P289">
        <f t="shared" si="26"/>
        <v>0.86051235968645412</v>
      </c>
      <c r="Q289">
        <f t="shared" si="27"/>
        <v>1</v>
      </c>
      <c r="R289">
        <f t="shared" si="28"/>
        <v>0</v>
      </c>
      <c r="S289">
        <f t="shared" si="29"/>
        <v>0.86051235968645412</v>
      </c>
      <c r="T289">
        <f t="shared" si="30"/>
        <v>-0.15022730005606119</v>
      </c>
    </row>
    <row r="290" spans="1:20" x14ac:dyDescent="0.3">
      <c r="A290">
        <v>63</v>
      </c>
      <c r="B290">
        <v>1</v>
      </c>
      <c r="C290">
        <v>4</v>
      </c>
      <c r="D290">
        <v>140</v>
      </c>
      <c r="E290">
        <v>187</v>
      </c>
      <c r="F290">
        <v>0</v>
      </c>
      <c r="G290">
        <v>2</v>
      </c>
      <c r="H290">
        <v>144</v>
      </c>
      <c r="I290">
        <v>1</v>
      </c>
      <c r="J290">
        <v>4</v>
      </c>
      <c r="K290">
        <v>1</v>
      </c>
      <c r="L290">
        <v>2</v>
      </c>
      <c r="M290">
        <v>7</v>
      </c>
      <c r="N290">
        <v>1</v>
      </c>
      <c r="O290">
        <f t="shared" si="25"/>
        <v>4.4639536306466958</v>
      </c>
      <c r="P290">
        <f t="shared" si="26"/>
        <v>0.98861438494936782</v>
      </c>
      <c r="Q290">
        <f t="shared" si="27"/>
        <v>1</v>
      </c>
      <c r="R290">
        <f t="shared" si="28"/>
        <v>0</v>
      </c>
      <c r="S290">
        <f t="shared" si="29"/>
        <v>0.98861438494936782</v>
      </c>
      <c r="T290">
        <f t="shared" si="30"/>
        <v>-1.1450927386324089E-2</v>
      </c>
    </row>
    <row r="291" spans="1:20" x14ac:dyDescent="0.3">
      <c r="A291">
        <v>63</v>
      </c>
      <c r="B291">
        <v>0</v>
      </c>
      <c r="C291">
        <v>4</v>
      </c>
      <c r="D291">
        <v>124</v>
      </c>
      <c r="E291">
        <v>197</v>
      </c>
      <c r="F291">
        <v>0</v>
      </c>
      <c r="G291">
        <v>0</v>
      </c>
      <c r="H291">
        <v>136</v>
      </c>
      <c r="I291">
        <v>1</v>
      </c>
      <c r="J291">
        <v>0</v>
      </c>
      <c r="K291">
        <v>2</v>
      </c>
      <c r="L291">
        <v>0</v>
      </c>
      <c r="M291">
        <v>3</v>
      </c>
      <c r="N291">
        <v>1</v>
      </c>
      <c r="O291">
        <f t="shared" si="25"/>
        <v>-1.6513895492008612</v>
      </c>
      <c r="P291">
        <f t="shared" si="26"/>
        <v>0.16092123645901302</v>
      </c>
      <c r="Q291">
        <f t="shared" si="27"/>
        <v>0</v>
      </c>
      <c r="R291">
        <f t="shared" si="28"/>
        <v>1</v>
      </c>
      <c r="S291">
        <f t="shared" si="29"/>
        <v>0.16092123645901302</v>
      </c>
      <c r="T291">
        <f t="shared" si="30"/>
        <v>-1.8268402482424415</v>
      </c>
    </row>
    <row r="292" spans="1:20" x14ac:dyDescent="0.3">
      <c r="A292">
        <v>41</v>
      </c>
      <c r="B292">
        <v>1</v>
      </c>
      <c r="C292">
        <v>2</v>
      </c>
      <c r="D292">
        <v>120</v>
      </c>
      <c r="E292">
        <v>157</v>
      </c>
      <c r="F292">
        <v>0</v>
      </c>
      <c r="G292">
        <v>0</v>
      </c>
      <c r="H292">
        <v>182</v>
      </c>
      <c r="I292">
        <v>0</v>
      </c>
      <c r="J292">
        <v>0</v>
      </c>
      <c r="K292">
        <v>1</v>
      </c>
      <c r="L292">
        <v>0</v>
      </c>
      <c r="M292">
        <v>3</v>
      </c>
      <c r="N292">
        <v>0</v>
      </c>
      <c r="O292">
        <f t="shared" si="25"/>
        <v>-3.515325380254521</v>
      </c>
      <c r="P292">
        <f t="shared" si="26"/>
        <v>2.8879308684174727E-2</v>
      </c>
      <c r="Q292">
        <f t="shared" si="27"/>
        <v>0</v>
      </c>
      <c r="R292">
        <f t="shared" si="28"/>
        <v>0</v>
      </c>
      <c r="S292">
        <f t="shared" si="29"/>
        <v>0.97112069131582524</v>
      </c>
      <c r="T292">
        <f t="shared" si="30"/>
        <v>-2.9304522518073681E-2</v>
      </c>
    </row>
    <row r="293" spans="1:20" x14ac:dyDescent="0.3">
      <c r="A293">
        <v>59</v>
      </c>
      <c r="B293">
        <v>1</v>
      </c>
      <c r="C293">
        <v>4</v>
      </c>
      <c r="D293">
        <v>164</v>
      </c>
      <c r="E293">
        <v>176</v>
      </c>
      <c r="F293">
        <v>1</v>
      </c>
      <c r="G293">
        <v>2</v>
      </c>
      <c r="H293">
        <v>90</v>
      </c>
      <c r="I293">
        <v>0</v>
      </c>
      <c r="J293">
        <v>1</v>
      </c>
      <c r="K293">
        <v>2</v>
      </c>
      <c r="L293">
        <v>2</v>
      </c>
      <c r="M293">
        <v>6</v>
      </c>
      <c r="N293">
        <v>1</v>
      </c>
      <c r="O293">
        <f t="shared" si="25"/>
        <v>4.5961552658721843</v>
      </c>
      <c r="P293">
        <f t="shared" si="26"/>
        <v>0.99001024541683669</v>
      </c>
      <c r="Q293">
        <f t="shared" si="27"/>
        <v>1</v>
      </c>
      <c r="R293">
        <f t="shared" si="28"/>
        <v>0</v>
      </c>
      <c r="S293">
        <f t="shared" si="29"/>
        <v>0.99001024541683669</v>
      </c>
      <c r="T293">
        <f t="shared" si="30"/>
        <v>-1.0039987001155356E-2</v>
      </c>
    </row>
    <row r="294" spans="1:20" x14ac:dyDescent="0.3">
      <c r="A294">
        <v>57</v>
      </c>
      <c r="B294">
        <v>0</v>
      </c>
      <c r="C294">
        <v>4</v>
      </c>
      <c r="D294">
        <v>140</v>
      </c>
      <c r="E294">
        <v>241</v>
      </c>
      <c r="F294">
        <v>0</v>
      </c>
      <c r="G294">
        <v>0</v>
      </c>
      <c r="H294">
        <v>123</v>
      </c>
      <c r="I294">
        <v>1</v>
      </c>
      <c r="J294">
        <v>0.2</v>
      </c>
      <c r="K294">
        <v>2</v>
      </c>
      <c r="L294">
        <v>0</v>
      </c>
      <c r="M294">
        <v>7</v>
      </c>
      <c r="N294">
        <v>1</v>
      </c>
      <c r="O294">
        <f t="shared" si="25"/>
        <v>0.92424229082327791</v>
      </c>
      <c r="P294">
        <f t="shared" si="26"/>
        <v>0.71590571255857294</v>
      </c>
      <c r="Q294">
        <f t="shared" si="27"/>
        <v>1</v>
      </c>
      <c r="R294">
        <f t="shared" si="28"/>
        <v>0</v>
      </c>
      <c r="S294">
        <f t="shared" si="29"/>
        <v>0.71590571255857294</v>
      </c>
      <c r="T294">
        <f t="shared" si="30"/>
        <v>-0.334206807063611</v>
      </c>
    </row>
    <row r="295" spans="1:20" x14ac:dyDescent="0.3">
      <c r="A295">
        <v>45</v>
      </c>
      <c r="B295">
        <v>1</v>
      </c>
      <c r="C295">
        <v>1</v>
      </c>
      <c r="D295">
        <v>110</v>
      </c>
      <c r="E295">
        <v>264</v>
      </c>
      <c r="F295">
        <v>0</v>
      </c>
      <c r="G295">
        <v>0</v>
      </c>
      <c r="H295">
        <v>132</v>
      </c>
      <c r="I295">
        <v>0</v>
      </c>
      <c r="J295">
        <v>1.2</v>
      </c>
      <c r="K295">
        <v>2</v>
      </c>
      <c r="L295">
        <v>0</v>
      </c>
      <c r="M295">
        <v>7</v>
      </c>
      <c r="N295">
        <v>1</v>
      </c>
      <c r="O295">
        <f t="shared" si="25"/>
        <v>-1.8622188524785699E-2</v>
      </c>
      <c r="P295">
        <f t="shared" si="26"/>
        <v>0.49534458740398202</v>
      </c>
      <c r="Q295">
        <f t="shared" si="27"/>
        <v>0</v>
      </c>
      <c r="R295">
        <f t="shared" si="28"/>
        <v>1</v>
      </c>
      <c r="S295">
        <f t="shared" si="29"/>
        <v>0.49534458740398202</v>
      </c>
      <c r="T295">
        <f t="shared" si="30"/>
        <v>-0.70250162243417769</v>
      </c>
    </row>
    <row r="296" spans="1:20" x14ac:dyDescent="0.3">
      <c r="A296">
        <v>68</v>
      </c>
      <c r="B296">
        <v>1</v>
      </c>
      <c r="C296">
        <v>4</v>
      </c>
      <c r="D296">
        <v>144</v>
      </c>
      <c r="E296">
        <v>193</v>
      </c>
      <c r="F296">
        <v>1</v>
      </c>
      <c r="G296">
        <v>0</v>
      </c>
      <c r="H296">
        <v>141</v>
      </c>
      <c r="I296">
        <v>0</v>
      </c>
      <c r="J296">
        <v>3.4</v>
      </c>
      <c r="K296">
        <v>2</v>
      </c>
      <c r="L296">
        <v>2</v>
      </c>
      <c r="M296">
        <v>7</v>
      </c>
      <c r="N296">
        <v>1</v>
      </c>
      <c r="O296">
        <f t="shared" si="25"/>
        <v>2.4223777676601479</v>
      </c>
      <c r="P296">
        <f t="shared" si="26"/>
        <v>0.91851788047509786</v>
      </c>
      <c r="Q296">
        <f t="shared" si="27"/>
        <v>1</v>
      </c>
      <c r="R296">
        <f t="shared" si="28"/>
        <v>0</v>
      </c>
      <c r="S296">
        <f t="shared" si="29"/>
        <v>0.91851788047509786</v>
      </c>
      <c r="T296">
        <f t="shared" si="30"/>
        <v>-8.4993907477680541E-2</v>
      </c>
    </row>
    <row r="297" spans="1:20" x14ac:dyDescent="0.3">
      <c r="A297">
        <v>57</v>
      </c>
      <c r="B297">
        <v>1</v>
      </c>
      <c r="C297">
        <v>4</v>
      </c>
      <c r="D297">
        <v>130</v>
      </c>
      <c r="E297">
        <v>131</v>
      </c>
      <c r="F297">
        <v>0</v>
      </c>
      <c r="G297">
        <v>0</v>
      </c>
      <c r="H297">
        <v>115</v>
      </c>
      <c r="I297">
        <v>1</v>
      </c>
      <c r="J297">
        <v>1.2</v>
      </c>
      <c r="K297">
        <v>2</v>
      </c>
      <c r="L297">
        <v>1</v>
      </c>
      <c r="M297">
        <v>7</v>
      </c>
      <c r="N297">
        <v>1</v>
      </c>
      <c r="O297">
        <f t="shared" si="25"/>
        <v>3.2774300520194792</v>
      </c>
      <c r="P297">
        <f t="shared" si="26"/>
        <v>0.96364636026989647</v>
      </c>
      <c r="Q297">
        <f t="shared" si="27"/>
        <v>1</v>
      </c>
      <c r="R297">
        <f t="shared" si="28"/>
        <v>0</v>
      </c>
      <c r="S297">
        <f t="shared" si="29"/>
        <v>0.96364636026989647</v>
      </c>
      <c r="T297">
        <f t="shared" si="30"/>
        <v>-3.703089786917034E-2</v>
      </c>
    </row>
    <row r="298" spans="1:20" x14ac:dyDescent="0.3">
      <c r="A298">
        <v>57</v>
      </c>
      <c r="B298">
        <v>0</v>
      </c>
      <c r="C298">
        <v>2</v>
      </c>
      <c r="D298">
        <v>130</v>
      </c>
      <c r="E298">
        <v>236</v>
      </c>
      <c r="F298">
        <v>0</v>
      </c>
      <c r="G298">
        <v>2</v>
      </c>
      <c r="H298">
        <v>174</v>
      </c>
      <c r="I298">
        <v>0</v>
      </c>
      <c r="J298">
        <v>0</v>
      </c>
      <c r="K298">
        <v>2</v>
      </c>
      <c r="L298">
        <v>1</v>
      </c>
      <c r="M298">
        <v>3</v>
      </c>
      <c r="N298">
        <v>1</v>
      </c>
      <c r="O298">
        <f t="shared" si="25"/>
        <v>-2.422948009812202</v>
      </c>
      <c r="P298">
        <f t="shared" si="26"/>
        <v>8.1439451199077459E-2</v>
      </c>
      <c r="Q298">
        <f t="shared" si="27"/>
        <v>0</v>
      </c>
      <c r="R298">
        <f t="shared" si="28"/>
        <v>1</v>
      </c>
      <c r="S298">
        <f t="shared" si="29"/>
        <v>8.1439451199077459E-2</v>
      </c>
      <c r="T298">
        <f t="shared" si="30"/>
        <v>-2.5078954649172975</v>
      </c>
    </row>
    <row r="300" spans="1:20" x14ac:dyDescent="0.3">
      <c r="A300" s="2" t="s">
        <v>14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Q300" t="s">
        <v>19</v>
      </c>
    </row>
    <row r="301" spans="1:20" x14ac:dyDescent="0.3">
      <c r="A301">
        <v>36</v>
      </c>
      <c r="B301">
        <v>0</v>
      </c>
      <c r="C301">
        <v>4</v>
      </c>
      <c r="D301">
        <v>118</v>
      </c>
      <c r="E301">
        <v>150</v>
      </c>
      <c r="F301">
        <v>1</v>
      </c>
      <c r="G301">
        <v>0</v>
      </c>
      <c r="H301">
        <v>112</v>
      </c>
      <c r="I301">
        <v>0</v>
      </c>
      <c r="J301">
        <v>0.5</v>
      </c>
      <c r="K301">
        <v>2</v>
      </c>
      <c r="L301">
        <v>0</v>
      </c>
      <c r="M301">
        <v>3</v>
      </c>
      <c r="N301" s="1" t="s">
        <v>15</v>
      </c>
      <c r="O301">
        <f t="shared" si="25"/>
        <v>-1.1849515326193987</v>
      </c>
      <c r="P301">
        <f t="shared" si="26"/>
        <v>0.23416306575868792</v>
      </c>
      <c r="Q301">
        <f t="shared" si="27"/>
        <v>0</v>
      </c>
    </row>
    <row r="302" spans="1:20" x14ac:dyDescent="0.3">
      <c r="A302">
        <v>67</v>
      </c>
      <c r="B302">
        <v>1</v>
      </c>
      <c r="C302">
        <v>3</v>
      </c>
      <c r="D302">
        <v>144</v>
      </c>
      <c r="E302">
        <v>232</v>
      </c>
      <c r="F302">
        <v>0</v>
      </c>
      <c r="G302">
        <v>2</v>
      </c>
      <c r="H302">
        <v>174</v>
      </c>
      <c r="I302">
        <v>1</v>
      </c>
      <c r="J302">
        <v>0</v>
      </c>
      <c r="K302">
        <v>1</v>
      </c>
      <c r="L302">
        <v>0</v>
      </c>
      <c r="M302">
        <v>3</v>
      </c>
      <c r="N302" s="1" t="s">
        <v>15</v>
      </c>
      <c r="O302">
        <f t="shared" si="25"/>
        <v>-2.0491862395229612</v>
      </c>
      <c r="P302">
        <f t="shared" si="26"/>
        <v>0.11413463307610397</v>
      </c>
      <c r="Q302">
        <f t="shared" si="27"/>
        <v>0</v>
      </c>
    </row>
  </sheetData>
  <mergeCells count="1">
    <mergeCell ref="A300:N3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LR</vt:lpstr>
      <vt:lpstr>LR!Heart_disease_processed_cleveland___Copy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2025-11-26T16:07:49Z</dcterms:modified>
</cp:coreProperties>
</file>