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2077173F-ADEF-49D6-B0A4-065D74C25B11}" xr6:coauthVersionLast="47" xr6:coauthVersionMax="47" xr10:uidLastSave="{00000000-0000-0000-0000-000000000000}"/>
  <bookViews>
    <workbookView xWindow="-108" yWindow="-108" windowWidth="23256" windowHeight="12456" xr2:uid="{00000000-000D-0000-FFFF-FFFF00000000}"/>
  </bookViews>
  <sheets>
    <sheet name="temp-sale"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4" i="1" l="1"/>
  <c r="D13" i="1"/>
  <c r="D12" i="1"/>
  <c r="D9" i="1"/>
  <c r="D8" i="1"/>
  <c r="D7" i="1"/>
  <c r="D6" i="1"/>
  <c r="D5" i="1"/>
  <c r="D4" i="1"/>
  <c r="D3" i="1"/>
</calcChain>
</file>

<file path=xl/sharedStrings.xml><?xml version="1.0" encoding="utf-8"?>
<sst xmlns="http://schemas.openxmlformats.org/spreadsheetml/2006/main" count="11" uniqueCount="11">
  <si>
    <t>Scoring Data</t>
  </si>
  <si>
    <t>Prediction</t>
  </si>
  <si>
    <t>Temperature (F)</t>
  </si>
  <si>
    <t>Ice Cream Sale (dollar in thousand)</t>
  </si>
  <si>
    <t>SUM(X)</t>
  </si>
  <si>
    <t>SUM(Y)</t>
  </si>
  <si>
    <t>SUM(XY)</t>
  </si>
  <si>
    <t>SUM(X^2)</t>
  </si>
  <si>
    <t>n</t>
  </si>
  <si>
    <t>m</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</si>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</sst>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136482939632559E-2"/>
          <c:y val="0.23175925925925925"/>
          <c:w val="0.87119685039370076"/>
          <c:h val="0.61917468649752117"/>
        </c:manualLayout>
      </c:layout>
      <c:scatterChart>
        <c:scatterStyle val="lineMarker"/>
        <c:varyColors val="0"/>
        <c:ser>
          <c:idx val="0"/>
          <c:order val="0"/>
          <c:tx>
            <c:strRef>
              <c:f>'temp-sale'!$B$1</c:f>
              <c:strCache>
                <c:ptCount val="1"/>
                <c:pt idx="0">
                  <c:v>Ice Cream Sale (dollar in thousand)</c:v>
                </c:pt>
              </c:strCache>
            </c:strRef>
          </c:tx>
          <c:spPr>
            <a:ln w="25400" cap="rnd">
              <a:no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1"/>
                </a:solidFill>
              </a:ln>
              <a:effectLst/>
            </c:spPr>
            <c:trendlineType val="linear"/>
            <c:dispRSqr val="0"/>
            <c:dispEq val="0"/>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0-D423-4F88-9D04-648950896011}"/>
            </c:ext>
          </c:extLst>
        </c:ser>
        <c:dLbls>
          <c:dLblPos val="t"/>
          <c:showLegendKey val="0"/>
          <c:showVal val="1"/>
          <c:showCatName val="0"/>
          <c:showSerName val="0"/>
          <c:showPercent val="0"/>
          <c:showBubbleSize val="0"/>
        </c:dLbls>
        <c:axId val="943139743"/>
        <c:axId val="943137823"/>
      </c:scatterChart>
      <c:valAx>
        <c:axId val="943139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TEMPERATURE</a:t>
                </a:r>
              </a:p>
            </c:rich>
          </c:tx>
          <c:layout>
            <c:manualLayout>
              <c:xMode val="edge"/>
              <c:yMode val="edge"/>
              <c:x val="0.43838057742782155"/>
              <c:y val="0.9305555555555555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943137823"/>
        <c:crosses val="autoZero"/>
        <c:crossBetween val="midCat"/>
      </c:valAx>
      <c:valAx>
        <c:axId val="943137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ICE</a:t>
                </a:r>
                <a:r>
                  <a:rPr lang="en-US" baseline="0"/>
                  <a:t> CREAM SALE</a:t>
                </a:r>
                <a:endParaRPr lang="en-US"/>
              </a:p>
            </c:rich>
          </c:tx>
          <c:layout>
            <c:manualLayout>
              <c:xMode val="edge"/>
              <c:yMode val="edge"/>
              <c:x val="5.5555555555555558E-3"/>
              <c:y val="0.4359299358413531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1397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5</xdr:col>
      <xdr:colOff>83820</xdr:colOff>
      <xdr:row>6</xdr:row>
      <xdr:rowOff>190500</xdr:rowOff>
    </xdr:from>
    <xdr:to>
      <xdr:col>12</xdr:col>
      <xdr:colOff>388620</xdr:colOff>
      <xdr:row>21</xdr:row>
      <xdr:rowOff>68580</xdr:rowOff>
    </xdr:to>
    <xdr:graphicFrame macro="">
      <xdr:nvGraphicFramePr>
        <xdr:cNvPr id="3" name="Chart 2">
          <a:extLst>
            <a:ext uri="{FF2B5EF4-FFF2-40B4-BE49-F238E27FC236}">
              <a16:creationId xmlns:a16="http://schemas.microsoft.com/office/drawing/2014/main" id="{76DFF836-1449-0FC9-96EE-75B3ADA70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J27" sqref="J27"/>
    </sheetView>
  </sheetViews>
  <sheetFormatPr defaultRowHeight="14.4" x14ac:dyDescent="0.3"/>
  <cols>
    <col min="1" max="1" width="16.88671875" bestFit="1" customWidth="1"/>
    <col min="2" max="2" width="35.88671875" bestFit="1" customWidth="1"/>
    <col min="3" max="3" width="13.5546875" customWidth="1"/>
    <col min="4" max="4" width="15" customWidth="1"/>
  </cols>
  <sheetData>
    <row r="1" spans="1:4" ht="15.6" x14ac:dyDescent="0.3">
      <c r="A1" s="1" t="s">
        <v>2</v>
      </c>
      <c r="B1" s="1" t="s">
        <v>3</v>
      </c>
      <c r="C1" s="2"/>
      <c r="D1" s="2"/>
    </row>
    <row r="2" spans="1:4" ht="15.6" x14ac:dyDescent="0.3">
      <c r="A2" s="2">
        <v>91</v>
      </c>
      <c r="B2" s="2">
        <v>89.8</v>
      </c>
      <c r="C2" s="3"/>
      <c r="D2" s="2"/>
    </row>
    <row r="3" spans="1:4" ht="15.6" x14ac:dyDescent="0.3">
      <c r="A3" s="2">
        <v>87</v>
      </c>
      <c r="B3" s="2">
        <v>90.2</v>
      </c>
      <c r="C3" s="3" t="s">
        <v>4</v>
      </c>
      <c r="D3" s="2">
        <f>SUM(A2:A9)</f>
        <v>731</v>
      </c>
    </row>
    <row r="4" spans="1:4" ht="15.6" x14ac:dyDescent="0.3">
      <c r="A4" s="2">
        <v>86</v>
      </c>
      <c r="B4" s="2">
        <v>81.099999999999994</v>
      </c>
      <c r="C4" s="3" t="s">
        <v>5</v>
      </c>
      <c r="D4" s="2">
        <f>SUM(B2:B9)</f>
        <v>781.3</v>
      </c>
    </row>
    <row r="5" spans="1:4" ht="15.6" x14ac:dyDescent="0.3">
      <c r="A5" s="2">
        <v>88</v>
      </c>
      <c r="B5" s="2">
        <v>83</v>
      </c>
      <c r="C5" s="3" t="s">
        <v>6</v>
      </c>
      <c r="D5" s="2">
        <f>SUMPRODUCT(A2:A9,B2:B9)</f>
        <v>71851.77</v>
      </c>
    </row>
    <row r="6" spans="1:4" ht="15.6" x14ac:dyDescent="0.3">
      <c r="A6" s="2">
        <v>92.8</v>
      </c>
      <c r="B6" s="2">
        <v>90.9</v>
      </c>
      <c r="C6" s="3" t="s">
        <v>7</v>
      </c>
      <c r="D6" s="2">
        <f>SUMPRODUCT(A2:A9,A2:A9)</f>
        <v>66915.06</v>
      </c>
    </row>
    <row r="7" spans="1:4" ht="15.6" x14ac:dyDescent="0.3">
      <c r="A7" s="2">
        <v>95.2</v>
      </c>
      <c r="B7" s="2">
        <v>119</v>
      </c>
      <c r="C7" s="3" t="s">
        <v>8</v>
      </c>
      <c r="D7" s="2">
        <f>COUNT(A2:A9)</f>
        <v>8</v>
      </c>
    </row>
    <row r="8" spans="1:4" ht="15.6" x14ac:dyDescent="0.3">
      <c r="A8" s="2">
        <v>93.3</v>
      </c>
      <c r="B8" s="2">
        <v>94.9</v>
      </c>
      <c r="C8" s="3" t="s">
        <v>9</v>
      </c>
      <c r="D8" s="2">
        <f>(D7*D5-D3*D4)/(D7*D6-D3^2)</f>
        <v>3.8394338600076852</v>
      </c>
    </row>
    <row r="9" spans="1:4" ht="15.6" x14ac:dyDescent="0.3">
      <c r="A9" s="2">
        <v>97.7</v>
      </c>
      <c r="B9" s="2">
        <v>132.4</v>
      </c>
      <c r="C9" s="3" t="s">
        <v>10</v>
      </c>
      <c r="D9" s="2">
        <f>(D6*D4-D3*D5)/(D7*D6-D3^2)</f>
        <v>-253.16576895819699</v>
      </c>
    </row>
    <row r="10" spans="1:4" ht="15.6" x14ac:dyDescent="0.3">
      <c r="A10" s="2"/>
      <c r="B10" s="2"/>
      <c r="C10" s="2"/>
      <c r="D10" s="2"/>
    </row>
    <row r="11" spans="1:4" ht="15.6" x14ac:dyDescent="0.3">
      <c r="A11" s="2"/>
      <c r="B11" s="2"/>
      <c r="C11" s="3" t="s">
        <v>0</v>
      </c>
      <c r="D11" s="1" t="s">
        <v>1</v>
      </c>
    </row>
    <row r="12" spans="1:4" ht="15.6" x14ac:dyDescent="0.3">
      <c r="A12" s="2"/>
      <c r="B12" s="2"/>
      <c r="C12" s="2">
        <v>88.8</v>
      </c>
      <c r="D12" s="4">
        <f>C12*D8+D9</f>
        <v>87.775957810485437</v>
      </c>
    </row>
    <row r="13" spans="1:4" ht="15.6" x14ac:dyDescent="0.3">
      <c r="A13" s="2"/>
      <c r="B13" s="2"/>
      <c r="C13" s="2">
        <v>96.9</v>
      </c>
      <c r="D13" s="4">
        <f>C13*D8+D9</f>
        <v>118.87537207654773</v>
      </c>
    </row>
    <row r="14" spans="1:4" ht="15.6" x14ac:dyDescent="0.3">
      <c r="A14" s="2"/>
      <c r="B14" s="2"/>
      <c r="C14" s="2">
        <v>94.7</v>
      </c>
      <c r="D14" s="4">
        <f>C14*D8+D9</f>
        <v>110.42861758453083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2025-11-26T07:58:28Z</dcterms:modified>
</cp:coreProperties>
</file>